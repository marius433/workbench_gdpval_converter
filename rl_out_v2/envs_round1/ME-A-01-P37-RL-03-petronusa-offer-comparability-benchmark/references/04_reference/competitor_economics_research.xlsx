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eadline_rates" sheetId="1" state="visible" r:id="rId3"/>
    <sheet name="unit_econom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<sst xmlns="http://schemas.openxmlformats.org/spreadsheetml/2006/main" count="48" uniqueCount="40">
  <si>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Competitor</t>
  </si>
  <si>
    <t xml:space="preserve">Downloads</t>
  </si>
  <si>
    <t xml:space="preserve">Registered_Users</t>
  </si>
  <si>
    <t xml:space="preserve">Active_30d_k</t>
  </si>
  <si>
    <t xml:space="preserve">Cashback_pct</t>
  </si>
  <si>
    <t xml:space="preserve">Feature_Count</t>
  </si>
  <si>
    <t xml:space="preserve">App_Rating</t>
  </si>
  <si>
    <t xml:space="preserve">Notes</t>
  </si>
  <si>
    <t xml:space="preserve">ArthaFuel</t>
  </si>
  <si>
    <t xml:space="preserve">Analyst estimates; active-user count +-15%; not independently verified.</t>
  </si>
  <si>
    <t xml:space="preserve">KhatuFuel</t>
  </si>
  <si>
    <t xml:space="preserve">Source: Analyst estimates compiled Q1 2025; not independently verified. Active-user +-15% band applies.</t>
  </si>
  <si>
    <t xml:space="preserve">Compiled by: Research team, Aurelian &amp; Co | Compilation date: May 2025 | For internal use only</t>
  </si>
  <si>
    <t xml:space="preserve">Metric</t>
  </si>
  <si>
    <t xml:space="preserve">Value</t>
  </si>
  <si>
    <t xml:space="preserve">Unit</t>
  </si>
  <si>
    <t xml:space="preserve">Fuel gross margin (SRP/litre)</t>
  </si>
  <si>
    <t xml:space="preserve">SRP/litre</t>
  </si>
  <si>
    <t xml:space="preserve">Sariwon context; quarterly MoE price adjustment</t>
  </si>
  <si>
    <t xml:space="preserve">Fuel retail price (current)</t>
  </si>
  <si>
    <t xml:space="preserve">Indicative Q1 2025</t>
  </si>
  <si>
    <t xml:space="preserve">Fuel gross margin (%)</t>
  </si>
  <si>
    <t xml:space="preserve">% of retail</t>
  </si>
  <si>
    <t xml:space="preserve">From PetroNusa internal; see company profile</t>
  </si>
  <si>
    <t xml:space="preserve">ArthaFuel cashback cost (SRP/litre)</t>
  </si>
  <si>
    <t xml:space="preserve">Analyst-derived from headline rate x pump price</t>
  </si>
  <si>
    <t xml:space="preserve">KhatuFuel cashback cost (SRP/litre)</t>
  </si>
  <si>
    <t xml:space="preserve">Regional loyalty cost - low</t>
  </si>
  <si>
    <t xml:space="preserve">% of revenue</t>
  </si>
  <si>
    <t xml:space="preserve">Based on regional peer operators benchmarks</t>
  </si>
  <si>
    <t xml:space="preserve">Regional loyalty cost - high</t>
  </si>
  <si>
    <t xml:space="preserve">ArthaFuel EBITDA margin (est.)</t>
  </si>
  <si>
    <t xml:space="preserve">% revenue</t>
  </si>
  <si>
    <t xml:space="preserve">Analyst estimate; public commentary only</t>
  </si>
  <si>
    <t xml:space="preserve">PetroNusa EBITDA margin</t>
  </si>
  <si>
    <t xml:space="preserve">Latest full-year filing</t>
  </si>
  <si>
    <t xml:space="preserve">Avg redemption value per transaction</t>
  </si>
  <si>
    <t xml:space="preserve">TBC</t>
  </si>
  <si>
    <t xml:space="preserve">Pending verification from ArthaFuel FY2025 report</t>
  </si>
  <si>
    <t xml:space="preserve">Compiled by: Research team, Aurelian &amp; Co | May 2025 | Cross-reference with PetroNusa Company Profile and Regional Wallet Benchmarks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</si>
</sst>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i val="true"/>
      <sz val="8"/>
      <color rgb="FF999999"/>
      <name val="Calibri"/>
      <family val="0"/>
      <charset val="1"/>
    </font>
    <font>
      <i val="true"/>
      <sz val="9"/>
      <color rgb="FF44444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  <col collapsed="false" customWidth="true" hidden="false" outlineLevel="0" max="3" min="3" style="1" width="17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55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8" hidden="false" customHeight="true" outlineLevel="0" collapsed="false">
      <c r="A2" s="3" t="s">
        <v>8</v>
      </c>
      <c r="B2" s="4" t="n">
        <v>4100000</v>
      </c>
      <c r="C2" s="4" t="n">
        <v>2800000</v>
      </c>
      <c r="D2" s="4" t="n">
        <v>950</v>
      </c>
      <c r="E2" s="5" t="n">
        <v>4.2</v>
      </c>
      <c r="F2" s="5" t="n">
        <v>18</v>
      </c>
      <c r="G2" s="5" t="n">
        <v>4.2</v>
      </c>
      <c r="H2" s="6" t="s">
        <v>9</v>
      </c>
    </row>
    <row r="3" customFormat="false" ht="18" hidden="false" customHeight="true" outlineLevel="0" collapsed="false">
      <c r="A3" s="7" t="s">
        <v>10</v>
      </c>
      <c r="B3" s="8" t="n">
        <v>2300000</v>
      </c>
      <c r="C3" s="8" t="n">
        <v>1600000</v>
      </c>
      <c r="D3" s="8" t="n">
        <v>520</v>
      </c>
      <c r="E3" s="9" t="n">
        <v>3.8</v>
      </c>
      <c r="F3" s="9" t="n">
        <v>22</v>
      </c>
      <c r="G3" s="9" t="n">
        <v>4.1</v>
      </c>
      <c r="H3" s="10" t="s">
        <v>9</v>
      </c>
    </row>
    <row r="5" customFormat="false" ht="27.75" hidden="false" customHeight="true" outlineLevel="0" collapsed="false">
      <c r="A5" s="11" t="s">
        <v>11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12" t="s">
        <v>12</v>
      </c>
      <c r="B6" s="12"/>
      <c r="C6" s="12"/>
      <c r="D6" s="12"/>
      <c r="E6" s="12"/>
      <c r="F6" s="12"/>
      <c r="G6" s="12"/>
      <c r="H6" s="12"/>
    </row>
  </sheetData>
  <mergeCells count="2">
    <mergeCell ref="A5:H5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55"/>
  </cols>
  <sheetData>
    <row r="1" customFormat="false" ht="18" hidden="false" customHeight="true" outlineLevel="0" collapsed="false">
      <c r="A1" s="2" t="s">
        <v>13</v>
      </c>
      <c r="B1" s="2" t="s">
        <v>14</v>
      </c>
      <c r="C1" s="2" t="s">
        <v>15</v>
      </c>
      <c r="D1" s="2" t="s">
        <v>7</v>
      </c>
    </row>
    <row r="2" customFormat="false" ht="15" hidden="false" customHeight="true" outlineLevel="0" collapsed="false">
      <c r="A2" s="3" t="s">
        <v>16</v>
      </c>
      <c r="B2" s="13" t="n">
        <f aca="false">B3*B4/100</f>
        <v>513</v>
      </c>
      <c r="C2" s="3" t="s">
        <v>17</v>
      </c>
      <c r="D2" s="14" t="s">
        <v>18</v>
      </c>
    </row>
    <row r="3" customFormat="false" ht="15" hidden="false" customHeight="true" outlineLevel="0" collapsed="false">
      <c r="A3" s="7" t="s">
        <v>19</v>
      </c>
      <c r="B3" s="8" t="n">
        <v>13500</v>
      </c>
      <c r="C3" s="7" t="s">
        <v>17</v>
      </c>
      <c r="D3" s="15" t="s">
        <v>20</v>
      </c>
    </row>
    <row r="4" customFormat="false" ht="15" hidden="false" customHeight="true" outlineLevel="0" collapsed="false">
      <c r="A4" s="3" t="s">
        <v>21</v>
      </c>
      <c r="B4" s="5" t="n">
        <v>3.8</v>
      </c>
      <c r="C4" s="3" t="s">
        <v>22</v>
      </c>
      <c r="D4" s="14" t="s">
        <v>23</v>
      </c>
    </row>
    <row r="5" customFormat="false" ht="15" hidden="false" customHeight="true" outlineLevel="0" collapsed="false">
      <c r="A5" s="7" t="s">
        <v>24</v>
      </c>
      <c r="B5" s="16" t="n">
        <f aca="false">B3*(headline_rates!E2/100)</f>
        <v>567</v>
      </c>
      <c r="C5" s="7" t="s">
        <v>17</v>
      </c>
      <c r="D5" s="15" t="s">
        <v>25</v>
      </c>
    </row>
    <row r="6" customFormat="false" ht="15" hidden="false" customHeight="true" outlineLevel="0" collapsed="false">
      <c r="A6" s="3" t="s">
        <v>26</v>
      </c>
      <c r="B6" s="13" t="n">
        <f aca="false">B3*(headline_rates!E3/100)</f>
        <v>513</v>
      </c>
      <c r="C6" s="3" t="s">
        <v>17</v>
      </c>
      <c r="D6" s="14" t="s">
        <v>25</v>
      </c>
    </row>
    <row r="7" customFormat="false" ht="15" hidden="false" customHeight="true" outlineLevel="0" collapsed="false">
      <c r="A7" s="7" t="s">
        <v>27</v>
      </c>
      <c r="B7" s="9" t="n">
        <v>0.8</v>
      </c>
      <c r="C7" s="7" t="s">
        <v>28</v>
      </c>
      <c r="D7" s="15" t="s">
        <v>29</v>
      </c>
    </row>
    <row r="8" customFormat="false" ht="15" hidden="false" customHeight="true" outlineLevel="0" collapsed="false">
      <c r="A8" s="3" t="s">
        <v>30</v>
      </c>
      <c r="B8" s="5" t="n">
        <v>1.5</v>
      </c>
      <c r="C8" s="3" t="s">
        <v>28</v>
      </c>
      <c r="D8" s="14"/>
    </row>
    <row r="9" customFormat="false" ht="15" hidden="false" customHeight="true" outlineLevel="0" collapsed="false">
      <c r="A9" s="7" t="s">
        <v>31</v>
      </c>
      <c r="B9" s="9" t="n">
        <v>4.1</v>
      </c>
      <c r="C9" s="7" t="s">
        <v>32</v>
      </c>
      <c r="D9" s="15" t="s">
        <v>33</v>
      </c>
    </row>
    <row r="10" customFormat="false" ht="15" hidden="false" customHeight="true" outlineLevel="0" collapsed="false">
      <c r="A10" s="3" t="s">
        <v>34</v>
      </c>
      <c r="B10" s="5" t="n">
        <v>6.2</v>
      </c>
      <c r="C10" s="3" t="s">
        <v>32</v>
      </c>
      <c r="D10" s="14" t="s">
        <v>35</v>
      </c>
    </row>
    <row r="11" customFormat="false" ht="15" hidden="false" customHeight="true" outlineLevel="0" collapsed="false">
      <c r="A11" s="7" t="s">
        <v>36</v>
      </c>
      <c r="B11" s="16" t="s">
        <v>37</v>
      </c>
      <c r="C11" s="7"/>
      <c r="D11" s="15" t="s">
        <v>38</v>
      </c>
    </row>
    <row r="13" customFormat="false" ht="15" hidden="false" customHeight="true" outlineLevel="0" collapsed="false">
      <c r="A13" s="12" t="s">
        <v>39</v>
      </c>
      <c r="B13" s="12"/>
      <c r="C13" s="12"/>
      <c r="D13" s="12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