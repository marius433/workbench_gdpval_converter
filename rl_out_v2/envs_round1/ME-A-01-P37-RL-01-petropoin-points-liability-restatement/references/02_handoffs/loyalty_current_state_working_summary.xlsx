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rogramme_Health_Inputs" sheetId="1" state="visible" r:id="rId3"/>
    <sheet name="Points_Economics_Inputs" sheetId="2" state="visible" r:id="rId4"/>
    <sheet name="Incrementality_Proxy_Inputs" sheetId="3" state="visible" r:id="rId5"/>
    <sheet name="Value_Concentration_Inputs" sheetId="4" state="visible" r:id="rId6"/>
    <sheet name="Source_Not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<sst xmlns="http://schemas.openxmlformats.org/spreadsheetml/2006/main" count="296" uniqueCount="224">
  <si>
    <t xml:space="preserve">Source: PetroPoin CRM extract, FY2024 close. Compiled by C. Widyastuti, 08-Apr-2025.</t>
  </si>
  <si>
    <t xml:space="preserve">Extract date: 31-Dec-2024   |   Version: v2 (supersedes v1 dated 21-Mar-2025)</t>
  </si>
  <si>
    <t xml:space="preserve">Segment_ID</t>
  </si>
  <si>
    <t xml:space="preserve">Tier</t>
  </si>
  <si>
    <t xml:space="preserve">Members</t>
  </si>
  <si>
    <t xml:space="preserve">Last_Txn_Flag_30d</t>
  </si>
  <si>
    <t xml:space="preserve">Last_Txn_Flag_90d</t>
  </si>
  <si>
    <t xml:space="preserve">Avg_Fuel_Fills_pm</t>
  </si>
  <si>
    <t xml:space="preserve">Avg_NFR_Spend_SRP</t>
  </si>
  <si>
    <t xml:space="preserve">Points_Balance_SRP</t>
  </si>
  <si>
    <t xml:space="preserve">Decile_Group</t>
  </si>
  <si>
    <t xml:space="preserve">Notes</t>
  </si>
  <si>
    <t xml:space="preserve">SEG-0100</t>
  </si>
  <si>
    <t xml:space="preserve">Silver</t>
  </si>
  <si>
    <t xml:space="preserve">SEG-0101</t>
  </si>
  <si>
    <t xml:space="preserve">SEG-0102</t>
  </si>
  <si>
    <t xml:space="preserve">SEG-0103</t>
  </si>
  <si>
    <t xml:space="preserve">est. -- station cluster data pending</t>
  </si>
  <si>
    <t xml:space="preserve">SEG-0104</t>
  </si>
  <si>
    <t xml:space="preserve">SEG-0105</t>
  </si>
  <si>
    <t xml:space="preserve">SEG-0106</t>
  </si>
  <si>
    <t xml:space="preserve">SEG-0200</t>
  </si>
  <si>
    <t xml:space="preserve">Gold</t>
  </si>
  <si>
    <t xml:space="preserve">SEG-0201</t>
  </si>
  <si>
    <t xml:space="preserve">TBC -- partial transaction mapping</t>
  </si>
  <si>
    <t xml:space="preserve">SEG-0202</t>
  </si>
  <si>
    <t xml:space="preserve">SEG-0203</t>
  </si>
  <si>
    <t xml:space="preserve">SEG-0204</t>
  </si>
  <si>
    <t xml:space="preserve">SEG-0205</t>
  </si>
  <si>
    <t xml:space="preserve">SEG-0206</t>
  </si>
  <si>
    <t xml:space="preserve">SEG-0300</t>
  </si>
  <si>
    <t xml:space="preserve">Plat</t>
  </si>
  <si>
    <t xml:space="preserve">SEG-0301</t>
  </si>
  <si>
    <t xml:space="preserve">SEG-0302</t>
  </si>
  <si>
    <t xml:space="preserve">SEG-0303</t>
  </si>
  <si>
    <t xml:space="preserve">est. -- partial POS reconciliation</t>
  </si>
  <si>
    <t xml:space="preserve">SEG-0304</t>
  </si>
  <si>
    <t xml:space="preserve">SEG-0305</t>
  </si>
  <si>
    <t xml:space="preserve">SEG-0306</t>
  </si>
  <si>
    <t xml:space="preserve">SEG-0400</t>
  </si>
  <si>
    <t xml:space="preserve">Elite</t>
  </si>
  <si>
    <t xml:space="preserve">SEG-0401</t>
  </si>
  <si>
    <t xml:space="preserve">SEG-0402</t>
  </si>
  <si>
    <t xml:space="preserve">SEG-0403</t>
  </si>
  <si>
    <t xml:space="preserve">SEG-0404</t>
  </si>
  <si>
    <t xml:space="preserve">SEG-0405</t>
  </si>
  <si>
    <t xml:space="preserve">SEG-0406</t>
  </si>
  <si>
    <t xml:space="preserve">TOTALS</t>
  </si>
  <si>
    <t xml:space="preserve">--</t>
  </si>
  <si>
    <t xml:space="preserve">Active 30d member count (sum)</t>
  </si>
  <si>
    <t xml:space="preserve">Active 30d pct of enrolled</t>
  </si>
  <si>
    <t xml:space="preserve">Active 90d member count (sum)</t>
  </si>
  <si>
    <t xml:space="preserve">Active 90d pct of enrolled</t>
  </si>
  <si>
    <t xml:space="preserve">Regional Fuel Loyalty Cost Benchmark (from industry research):</t>
  </si>
  <si>
    <t xml:space="preserve">Low: 0.8% of revenue   |   High: 1.5% of revenue   |   Midpoint est. ~1.2%</t>
  </si>
  <si>
    <t xml:space="preserve">PetroNusa FY2024 group revenue approx. USD 4,217M</t>
  </si>
  <si>
    <t xml:space="preserve">Source: PetroPoin CRM points ledger, FY2021-FY2024. Extracted by Finance/Loyalty Ops, 10-Apr-2025.</t>
  </si>
  <si>
    <t xml:space="preserve">redemption history includes both fuel and NFR channels. The FY2021-FY2024 series is the current ledger and supersedes the legacy FY2021 estimate of 62.1 SRP bn carried on the membership file's Points_Ledger tab.</t>
  </si>
  <si>
    <t xml:space="preserve">Period</t>
  </si>
  <si>
    <t xml:space="preserve">Opening_Balance_SRP_bn</t>
  </si>
  <si>
    <t xml:space="preserve">Issuance_SRP_bn</t>
  </si>
  <si>
    <t xml:space="preserve">Redemptions_SRP_bn</t>
  </si>
  <si>
    <t xml:space="preserve">Expired_Forfeited_SRP_bn</t>
  </si>
  <si>
    <t xml:space="preserve">Closing_Balance_SRP_bn</t>
  </si>
  <si>
    <t xml:space="preserve">Txn_Count_k</t>
  </si>
  <si>
    <t xml:space="preserve">Adjustments_SRP_bn</t>
  </si>
  <si>
    <t xml:space="preserve">FY2021</t>
  </si>
  <si>
    <t xml:space="preserve">FY2022</t>
  </si>
  <si>
    <t xml:space="preserve">COVID impact on redemptions; lower Q2/Q3</t>
  </si>
  <si>
    <t xml:space="preserve">FY2023</t>
  </si>
  <si>
    <t xml:space="preserve">FY2024</t>
  </si>
  <si>
    <t xml:space="preserve">Includes a prior-period accrual catch-up of 5.2 SRP bn following the Q4 points-engine reconciliation</t>
  </si>
  <si>
    <t xml:space="preserve">FY2024 Q1</t>
  </si>
  <si>
    <t xml:space="preserve">est.</t>
  </si>
  <si>
    <t xml:space="preserve">FY2024 Q2</t>
  </si>
  <si>
    <t xml:space="preserve">FY2024 Q3</t>
  </si>
  <si>
    <t xml:space="preserve">FY2024 Q4</t>
  </si>
  <si>
    <t xml:space="preserve">Year-end close; includes catch-up adjustments</t>
  </si>
  <si>
    <t xml:space="preserve">Reference Data</t>
  </si>
  <si>
    <t xml:space="preserve">SRP / USD proxy (Dec 2024)</t>
  </si>
  <si>
    <t xml:space="preserve">15,800</t>
  </si>
  <si>
    <t xml:space="preserve">Source: Bank Sariwon reference rate, Dec 2024</t>
  </si>
  <si>
    <t xml:space="preserve">Avg redemption value per txn (SRP)</t>
  </si>
  <si>
    <t xml:space="preserve">TBC</t>
  </si>
  <si>
    <t xml:space="preserve">Actuarial team to confirm -- est. range 8,000-14,000 SRP</t>
  </si>
  <si>
    <t xml:space="preserve">Estimated outstanding points (gross, SRP bn)</t>
  </si>
  <si>
    <t xml:space="preserve">87.4</t>
  </si>
  <si>
    <t xml:space="preserve">FY2024 year-end close</t>
  </si>
  <si>
    <t xml:space="preserve">Programme revenue base for cost benchmarking (USD M)</t>
  </si>
  <si>
    <t xml:space="preserve">4,217</t>
  </si>
  <si>
    <t xml:space="preserve">Group revenue FY2024</t>
  </si>
  <si>
    <t xml:space="preserve">Regional loyalty cost range low (% rev)</t>
  </si>
  <si>
    <t xml:space="preserve">0.8%</t>
  </si>
  <si>
    <t xml:space="preserve">Industry benchmark</t>
  </si>
  <si>
    <t xml:space="preserve">Regional loyalty cost range high (% rev)</t>
  </si>
  <si>
    <t xml:space="preserve">1.5%</t>
  </si>
  <si>
    <t xml:space="preserve">Finance actuarial breakage estimate (% of gross outstanding)</t>
  </si>
  <si>
    <t xml:space="preserve">38.2%</t>
  </si>
  <si>
    <t xml:space="preserve">Finance actuarial estimate, 36-month trailing window. Approved by Finance at the May 2025 review and carried as current on the membership file's Points_Ledger tab (B5). Based on cohort redemption history and demographic lapse modelling.</t>
  </si>
  <si>
    <t xml:space="preserve">Note on breakage basis</t>
  </si>
  <si>
    <t xml:space="preserve">Annual expiry (points reaching the three-year rule in a given year) and ultimate breakage (share of an issuance cohort never redeemed over its life) are different measures. The annual figure is depressed while the enrolled base is young relative to the three-year rule; the actuarial estimate is run on matured cohorts.</t>
  </si>
  <si>
    <t xml:space="preserve">Derived estimates (for analyst reference)</t>
  </si>
  <si>
    <t xml:space="preserve">Gross outstanding points liability (SRP bn)</t>
  </si>
  <si>
    <t xml:space="preserve">FY2024 closing balance from ledger</t>
  </si>
  <si>
    <t xml:space="preserve">Finance actuarial breakage estimate (for cross-ref)</t>
  </si>
  <si>
    <t xml:space="preserve">Approved rate, 36-month trailing window; agent to derive net liability</t>
  </si>
  <si>
    <t xml:space="preserve">Net liability (gross * (1-breakage)) -- analyst to compute</t>
  </si>
  <si>
    <t xml:space="preserve">Analyst to compute from gross balance and the breakage estimate</t>
  </si>
  <si>
    <t xml:space="preserve">Source: PetroPoin redemption cohort experiment, Q2-Q4 FY2024. Treatment/control assignment by station cluster. Clusters were assigned whole to a single arm; no cluster appears in both arms. Assignment was made at cluster level only -- members were not matched, and no pre-period balancing step was applied to the arms. Pre-period fill rate is given per cohort as observed.</t>
  </si>
  <si>
    <t xml:space="preserve">'inframarginal' defined operationally as treatment members whose post-redemption fill rate == pre-redemption fill rate (see methodology note). Classification TBC.</t>
  </si>
  <si>
    <t xml:space="preserve">Cohort_ID</t>
  </si>
  <si>
    <t xml:space="preserve">Station_Cluster</t>
  </si>
  <si>
    <t xml:space="preserve">Treatment_Flag</t>
  </si>
  <si>
    <t xml:space="preserve">Members_in_Cohort</t>
  </si>
  <si>
    <t xml:space="preserve">Fills_Pre_Redemption_pm</t>
  </si>
  <si>
    <t xml:space="preserve">Fills_Post_Redemption_pm</t>
  </si>
  <si>
    <t xml:space="preserve">Fill_Rate_Change_pct</t>
  </si>
  <si>
    <t xml:space="preserve">NFR_Spend_Pre_SRP</t>
  </si>
  <si>
    <t xml:space="preserve">NFR_Spend_Post_SRP</t>
  </si>
  <si>
    <t xml:space="preserve">Behaviour_Change_Flag</t>
  </si>
  <si>
    <t xml:space="preserve">CHT-2000</t>
  </si>
  <si>
    <t xml:space="preserve">Kertapura Raya Utara</t>
  </si>
  <si>
    <t xml:space="preserve">CHT-2001</t>
  </si>
  <si>
    <t xml:space="preserve">Kertapura Raya Selatan</t>
  </si>
  <si>
    <t xml:space="preserve">CHT-2002</t>
  </si>
  <si>
    <t xml:space="preserve">Cempaka Raya</t>
  </si>
  <si>
    <t xml:space="preserve">CHT-2003</t>
  </si>
  <si>
    <t xml:space="preserve">Anggarasari Metro</t>
  </si>
  <si>
    <t xml:space="preserve">CHT-2004</t>
  </si>
  <si>
    <t xml:space="preserve">Wanasari Pesisir</t>
  </si>
  <si>
    <t xml:space="preserve">CHT-2005</t>
  </si>
  <si>
    <t xml:space="preserve">Karangsari Selatan</t>
  </si>
  <si>
    <t xml:space="preserve">CHT-2006</t>
  </si>
  <si>
    <t xml:space="preserve">Sengkarang Timur</t>
  </si>
  <si>
    <t xml:space="preserve">CHT-2007</t>
  </si>
  <si>
    <t xml:space="preserve">Nusakerta Barat</t>
  </si>
  <si>
    <t xml:space="preserve">CHT-2008</t>
  </si>
  <si>
    <t xml:space="preserve">Talunagara Tengah</t>
  </si>
  <si>
    <t xml:space="preserve">CHT-2009</t>
  </si>
  <si>
    <t xml:space="preserve">Tirtanusa Utara</t>
  </si>
  <si>
    <t xml:space="preserve">CHT-2010</t>
  </si>
  <si>
    <t xml:space="preserve">CHT-2011</t>
  </si>
  <si>
    <t xml:space="preserve">CHT-2012</t>
  </si>
  <si>
    <t xml:space="preserve">CHT-2013</t>
  </si>
  <si>
    <t xml:space="preserve">CHT-2014</t>
  </si>
  <si>
    <t xml:space="preserve">CHT-2015</t>
  </si>
  <si>
    <t xml:space="preserve">TBC -- cluster reassigned mid-period</t>
  </si>
  <si>
    <t xml:space="preserve">CHT-2016</t>
  </si>
  <si>
    <t xml:space="preserve">CHT-2017</t>
  </si>
  <si>
    <t xml:space="preserve">CHT-2018</t>
  </si>
  <si>
    <t xml:space="preserve">CHT-2019</t>
  </si>
  <si>
    <t xml:space="preserve">CHT-2020</t>
  </si>
  <si>
    <t xml:space="preserve">CHT-2021</t>
  </si>
  <si>
    <t xml:space="preserve">CHT-2022</t>
  </si>
  <si>
    <t xml:space="preserve">CHT-2023</t>
  </si>
  <si>
    <t xml:space="preserve">CHT-2024</t>
  </si>
  <si>
    <t xml:space="preserve">CHT-2026</t>
  </si>
  <si>
    <t xml:space="preserve">CHT-2027</t>
  </si>
  <si>
    <t xml:space="preserve">CHT-2028</t>
  </si>
  <si>
    <t xml:space="preserve">CHT-2029</t>
  </si>
  <si>
    <t xml:space="preserve">CHT-2030</t>
  </si>
  <si>
    <t xml:space="preserve">CHT-2031</t>
  </si>
  <si>
    <t xml:space="preserve">CHT-2032</t>
  </si>
  <si>
    <t xml:space="preserve">CHT-2033</t>
  </si>
  <si>
    <t xml:space="preserve">CHT-2034</t>
  </si>
  <si>
    <t xml:space="preserve">CHT-2035</t>
  </si>
  <si>
    <t xml:space="preserve">est. -- partial quarter data</t>
  </si>
  <si>
    <t xml:space="preserve">CHT-2036</t>
  </si>
  <si>
    <t xml:space="preserve">CHT-2037</t>
  </si>
  <si>
    <t xml:space="preserve">CHT-2038</t>
  </si>
  <si>
    <t xml:space="preserve">CHT-2039</t>
  </si>
  <si>
    <t xml:space="preserve">Summary (treatment arm)</t>
  </si>
  <si>
    <t xml:space="preserve">Total treatment cohort members</t>
  </si>
  <si>
    <t xml:space="preserve">Inframarginal members (treatment, flag=0)</t>
  </si>
  <si>
    <t xml:space="preserve">Inframarginal share (treatment arm, for analyst)</t>
  </si>
  <si>
    <t xml:space="preserve">Incremental share (complement, for analyst)</t>
  </si>
  <si>
    <t xml:space="preserve">Analyst note: compute inframarginal share = rows where Behaviour_Change_Flag=0 / total cohort rows (treatment arm only). Breakage methodology in Points_Economics_Inputs. Cohort IDs are as delivered by CRM and have not been de-duplicated.</t>
  </si>
  <si>
    <t xml:space="preserve">Source: PetroPoin CRM analytics, FY2024 full year. Decile split by fuel transaction count. Compiled 09-Apr-2025; reissued 27-Jun-2025 after the NFR POS reconciliation closed.</t>
  </si>
  <si>
    <t xml:space="preserve">Reconciled split. This table supersedes the version circulated at the P36 close, whose share columns did not sum (fuel 106.0%, non-fuel 110.0%) and which is still carried on the membership file's Member_Value_Decile tab. The reconciliation corrected the mid-decile columns; the top-decile figures are unchanged and remain within the +/-2pp tolerance stated at the P36 close.</t>
  </si>
  <si>
    <t xml:space="preserve">Decile</t>
  </si>
  <si>
    <t xml:space="preserve">Label</t>
  </si>
  <si>
    <t xml:space="preserve">Member_Count</t>
  </si>
  <si>
    <t xml:space="preserve">Member_Share_pct</t>
  </si>
  <si>
    <t xml:space="preserve">Fuel_Txns_FY2024</t>
  </si>
  <si>
    <t xml:space="preserve">Fuel_Txn_Share_pct</t>
  </si>
  <si>
    <t xml:space="preserve">NFR_Spend_SRP_M</t>
  </si>
  <si>
    <t xml:space="preserve">NFR_Spend_Share_pct</t>
  </si>
  <si>
    <t xml:space="preserve">Avg_Fills_pm</t>
  </si>
  <si>
    <t xml:space="preserve">Top 10%</t>
  </si>
  <si>
    <t xml:space="preserve">10.0%</t>
  </si>
  <si>
    <t xml:space="preserve">reconciled -- see header note</t>
  </si>
  <si>
    <t xml:space="preserve">11-20%</t>
  </si>
  <si>
    <t xml:space="preserve">21-30%</t>
  </si>
  <si>
    <t xml:space="preserve">31-40%</t>
  </si>
  <si>
    <t xml:space="preserve">41-50%</t>
  </si>
  <si>
    <t xml:space="preserve">51-60%</t>
  </si>
  <si>
    <t xml:space="preserve">61-70%</t>
  </si>
  <si>
    <t xml:space="preserve">71-80%</t>
  </si>
  <si>
    <t xml:space="preserve">81-90%</t>
  </si>
  <si>
    <t xml:space="preserve">Bottom 10%</t>
  </si>
  <si>
    <t xml:space="preserve">TOTAL</t>
  </si>
  <si>
    <t xml:space="preserve">All deciles</t>
  </si>
  <si>
    <t xml:space="preserve">Total NFR revenue FY2024 (USD M): approx. 128   |   Group revenue share: ~3.0%   |   NFR POS reconciliation with Finance closed 27-Jun-2025; decile split above is the reconciled version</t>
  </si>
  <si>
    <t xml:space="preserve">PetroPoin Loyalty Current State -- Working Summary: Source and Provenance Notes</t>
  </si>
  <si>
    <t xml:space="preserve">Tab</t>
  </si>
  <si>
    <t xml:space="preserve">Source</t>
  </si>
  <si>
    <t xml:space="preserve">Date extracted</t>
  </si>
  <si>
    <t xml:space="preserve">Notes / caveats</t>
  </si>
  <si>
    <t xml:space="preserve">Programme_Health_Inputs</t>
  </si>
  <si>
    <t xml:space="preserve">PetroPoin CRM (loyalty.petronusa.co.sr), FY2024 close</t>
  </si>
  <si>
    <t xml:space="preserve">08-Apr-2025</t>
  </si>
  <si>
    <t xml:space="preserve">Member count is total enrolled, not active. Activity flags (30d / 90d) are raw CRM fields.</t>
  </si>
  <si>
    <t xml:space="preserve">Points_Economics_Inputs</t>
  </si>
  <si>
    <t xml:space="preserve">PetroPoin points ledger, Finance/Loyalty Ops extract</t>
  </si>
  <si>
    <t xml:space="preserve">10-Apr-2025</t>
  </si>
  <si>
    <t xml:space="preserve">Gross outstanding points = FY2024 year-end balance. Finance actuarial breakage estimate of 38.2% approved at the May 2025 review; the 45% figure is a superseded 2021 estimate and is marked as such on the membership file's Points_Ledger tab. Avg redemption value per txn still TBC from the actuarial team.</t>
  </si>
  <si>
    <t xml:space="preserve">Incrementality_Proxy_Inputs</t>
  </si>
  <si>
    <t xml:space="preserve">PetroPoin CRM cohort experiment, Q2-Q4 FY2024</t>
  </si>
  <si>
    <t xml:space="preserve">11-Apr-2025</t>
  </si>
  <si>
    <t xml:space="preserve">Treatment/control split by station cluster. Behaviour change flag = 1 where the post-redemption fill rate exceeds the pre-redemption rate by more than the review threshold. Pre/post fill rates and cohort members are given per cohort. Whole clusters went to one arm and no cluster appears in both; the extract does not record any member-level matching or arm-balancing step.</t>
  </si>
  <si>
    <t xml:space="preserve">Value_Concentration_Inputs</t>
  </si>
  <si>
    <t xml:space="preserve">PetroPoin CRM analytics extract, FY2024</t>
  </si>
  <si>
    <t xml:space="preserve">09-Apr-2025</t>
  </si>
  <si>
    <t xml:space="preserve">Decile split by fuel transaction count. Reconciled against NFR POS data 27-Jun-2025; supersedes the non-summing version carried on the membership file's Member_Value_Decile tab.</t>
  </si>
</sst>
</file>

<file path=xl/styles.xml><?xml version="1.0" encoding="utf-8"?>
<styleSheet xmlns="http://schemas.openxmlformats.org/spreadsheetml/2006/main">
  <numFmts count="5">
    <numFmt numFmtId="164" formatCode="General"/>
    <numFmt numFmtId="165" formatCode="#,##0"/>
    <numFmt numFmtId="166" formatCode="0.0%"/>
    <numFmt numFmtId="167" formatCode="0.0"/>
    <numFmt numFmtId="168" formatCode="#,##0.0"/>
  </numFmts>
  <fonts count="18">
    <font>
      <sz val="11"/>
      <color theme="1"/>
      <name val="Calibri"/>
      <family val="2"/>
      <charset val="1"/>
    </font>
    <font>
      <sz val="10"/>
      <name val="Arial"/>
      <family val="0"/>
    </font>
    <font>
      <sz val="10"/>
      <name val="Arial"/>
      <family val="0"/>
    </font>
    <font>
      <sz val="10"/>
      <name val="Arial"/>
      <family val="0"/>
    </font>
    <font>
      <i val="true"/>
      <sz val="8"/>
      <color rgb="FF555555"/>
      <name val="Cambria"/>
      <family val="0"/>
      <charset val="1"/>
    </font>
    <font>
      <b val="true"/>
      <sz val="9"/>
      <color rgb="FFFFFFFF"/>
      <name val="Cambria"/>
      <family val="0"/>
      <charset val="1"/>
    </font>
    <font>
      <sz val="9"/>
      <name val="Cambria"/>
      <family val="0"/>
      <charset val="1"/>
    </font>
    <font>
      <b val="true"/>
      <sz val="9"/>
      <name val="Cambria"/>
      <family val="0"/>
      <charset val="1"/>
    </font>
    <font>
      <sz val="9"/>
      <color rgb="FF333333"/>
      <name val="Cambria"/>
      <family val="0"/>
      <charset val="1"/>
    </font>
    <font>
      <i val="true"/>
      <sz val="8"/>
      <color rgb="FF666666"/>
      <name val="Cambria"/>
      <family val="0"/>
      <charset val="1"/>
    </font>
    <font>
      <i val="true"/>
      <sz val="8"/>
      <color rgb="FF888888"/>
      <name val="Cambria"/>
      <family val="0"/>
      <charset val="1"/>
    </font>
    <font>
      <b val="true"/>
      <sz val="10"/>
      <color rgb="FF1A3A5C"/>
      <name val="Cambria"/>
      <family val="0"/>
      <charset val="1"/>
    </font>
    <font>
      <b val="true"/>
      <sz val="9"/>
      <color rgb="FF1A3A5C"/>
      <name val="Cambria"/>
      <family val="0"/>
      <charset val="1"/>
    </font>
    <font>
      <i val="true"/>
      <sz val="9"/>
      <color rgb="FF555555"/>
      <name val="Cambria"/>
      <family val="0"/>
      <charset val="1"/>
    </font>
    <font>
      <sz val="8"/>
      <color rgb="FF888888"/>
      <name val="Cambria"/>
      <family val="0"/>
      <charset val="1"/>
    </font>
    <font>
      <i val="true"/>
      <sz val="9"/>
      <color rgb="FF444444"/>
      <name val="Cambria"/>
      <family val="0"/>
      <charset val="1"/>
    </font>
    <font>
      <b val="true"/>
      <sz val="11"/>
      <color rgb="FF1A3A5C"/>
      <name val="Cambria"/>
      <family val="0"/>
      <charset val="1"/>
    </font>
    <font>
      <i val="true"/>
      <sz val="8"/>
      <color rgb="FF444444"/>
      <name val="Cambria"/>
      <family val="0"/>
      <charset val="1"/>
    </font>
  </fonts>
  <fills count="3">
    <fill>
      <patternFill patternType="none"/>
    </fill>
    <fill>
      <patternFill patternType="gray125"/>
    </fill>
    <fill>
      <patternFill patternType="solid">
        <fgColor rgb="FF1A3A5C"/>
        <bgColor rgb="FF333333"/>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7" fontId="6" fillId="0" borderId="1"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general" vertical="bottom" textRotation="0" wrapText="false" indent="0" shrinkToFit="false"/>
      <protection locked="true" hidden="false"/>
    </xf>
    <xf numFmtId="168" fontId="6"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8" fontId="7" fillId="0" borderId="1" xfId="0" applyFont="true" applyBorder="true" applyAlignment="tru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17" fillId="0" borderId="1"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88888"/>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A3A5C"/>
      <rgbColor rgb="FF339966"/>
      <rgbColor rgb="FF003300"/>
      <rgbColor rgb="FF444444"/>
      <rgbColor rgb="FF993300"/>
      <rgbColor rgb="FF993366"/>
      <rgbColor rgb="FF55555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3"/>
    <col collapsed="false" customWidth="true" hidden="false" outlineLevel="0" max="3" min="3" style="1" width="14"/>
    <col collapsed="false" customWidth="true" hidden="false" outlineLevel="0" max="7" min="4" style="1" width="18"/>
    <col collapsed="false" customWidth="true" hidden="false" outlineLevel="0" max="8" min="8" style="1" width="20"/>
    <col collapsed="false" customWidth="true" hidden="false" outlineLevel="0" max="9" min="9" style="1" width="14"/>
    <col collapsed="false" customWidth="true" hidden="false" outlineLevel="0" max="10" min="10" style="1" width="26"/>
  </cols>
  <sheetData>
    <row r="1" customFormat="false" ht="18" hidden="false" customHeight="true" outlineLevel="0" collapsed="false">
      <c r="A1" s="2" t="s">
        <v>0</v>
      </c>
      <c r="B1" s="2"/>
      <c r="C1" s="2"/>
      <c r="D1" s="2"/>
      <c r="E1" s="2"/>
      <c r="F1" s="2"/>
      <c r="G1" s="2"/>
      <c r="H1" s="2"/>
      <c r="I1" s="2"/>
      <c r="J1" s="2"/>
    </row>
    <row r="2" customFormat="false" ht="15" hidden="false" customHeight="true" outlineLevel="0" collapsed="false">
      <c r="A2" s="2" t="s">
        <v>1</v>
      </c>
      <c r="B2" s="2"/>
      <c r="C2" s="2"/>
      <c r="D2" s="2"/>
      <c r="E2" s="2"/>
      <c r="F2" s="2"/>
      <c r="G2" s="2"/>
      <c r="H2" s="2"/>
      <c r="I2" s="2"/>
      <c r="J2" s="2"/>
    </row>
    <row r="4" customFormat="false" ht="15" hidden="false" customHeight="true" outlineLevel="0" collapsed="false">
      <c r="A4" s="3" t="s">
        <v>2</v>
      </c>
      <c r="B4" s="3" t="s">
        <v>3</v>
      </c>
      <c r="C4" s="3" t="s">
        <v>4</v>
      </c>
      <c r="D4" s="3" t="s">
        <v>5</v>
      </c>
      <c r="E4" s="3" t="s">
        <v>6</v>
      </c>
      <c r="F4" s="3" t="s">
        <v>7</v>
      </c>
      <c r="G4" s="3" t="s">
        <v>8</v>
      </c>
      <c r="H4" s="3" t="s">
        <v>9</v>
      </c>
      <c r="I4" s="3" t="s">
        <v>10</v>
      </c>
      <c r="J4" s="3" t="s">
        <v>11</v>
      </c>
    </row>
    <row r="5" customFormat="false" ht="15" hidden="false" customHeight="true" outlineLevel="0" collapsed="false">
      <c r="A5" s="4" t="s">
        <v>12</v>
      </c>
      <c r="B5" s="4" t="s">
        <v>13</v>
      </c>
      <c r="C5" s="5" t="n">
        <v>289341</v>
      </c>
      <c r="D5" s="4" t="n">
        <v>0</v>
      </c>
      <c r="E5" s="4" t="n">
        <v>0</v>
      </c>
      <c r="F5" s="4" t="n">
        <v>1.3</v>
      </c>
      <c r="G5" s="4" t="n">
        <v>4940</v>
      </c>
      <c r="H5" s="5" t="n">
        <v>1253278588</v>
      </c>
      <c r="I5" s="4" t="n">
        <v>10</v>
      </c>
      <c r="J5" s="4"/>
    </row>
    <row r="6" customFormat="false" ht="15" hidden="false" customHeight="true" outlineLevel="0" collapsed="false">
      <c r="A6" s="4" t="s">
        <v>14</v>
      </c>
      <c r="B6" s="4" t="s">
        <v>13</v>
      </c>
      <c r="C6" s="5" t="n">
        <v>412807</v>
      </c>
      <c r="D6" s="4" t="n">
        <v>0</v>
      </c>
      <c r="E6" s="4" t="n">
        <v>0</v>
      </c>
      <c r="F6" s="4" t="n">
        <v>1.6</v>
      </c>
      <c r="G6" s="4" t="n">
        <v>10797</v>
      </c>
      <c r="H6" s="5" t="n">
        <v>1887838478</v>
      </c>
      <c r="I6" s="4" t="n">
        <v>9</v>
      </c>
      <c r="J6" s="4"/>
    </row>
    <row r="7" customFormat="false" ht="15" hidden="false" customHeight="true" outlineLevel="0" collapsed="false">
      <c r="A7" s="4" t="s">
        <v>15</v>
      </c>
      <c r="B7" s="4" t="s">
        <v>13</v>
      </c>
      <c r="C7" s="5" t="n">
        <v>338274</v>
      </c>
      <c r="D7" s="4" t="n">
        <v>0</v>
      </c>
      <c r="E7" s="4" t="n">
        <v>0</v>
      </c>
      <c r="F7" s="4" t="n">
        <v>1.7</v>
      </c>
      <c r="G7" s="4" t="n">
        <v>3653</v>
      </c>
      <c r="H7" s="5" t="n">
        <v>313157505</v>
      </c>
      <c r="I7" s="4" t="n">
        <v>9</v>
      </c>
      <c r="J7" s="4"/>
    </row>
    <row r="8" customFormat="false" ht="15" hidden="false" customHeight="true" outlineLevel="0" collapsed="false">
      <c r="A8" s="4" t="s">
        <v>16</v>
      </c>
      <c r="B8" s="4" t="s">
        <v>13</v>
      </c>
      <c r="C8" s="5" t="n">
        <v>898134</v>
      </c>
      <c r="D8" s="4" t="n">
        <v>0</v>
      </c>
      <c r="E8" s="4" t="n">
        <v>0</v>
      </c>
      <c r="F8" s="4" t="n">
        <v>1.3</v>
      </c>
      <c r="G8" s="4" t="n">
        <v>4896</v>
      </c>
      <c r="H8" s="5" t="n">
        <v>2704334612</v>
      </c>
      <c r="I8" s="4" t="n">
        <v>9</v>
      </c>
      <c r="J8" s="4" t="s">
        <v>17</v>
      </c>
    </row>
    <row r="9" customFormat="false" ht="15" hidden="false" customHeight="true" outlineLevel="0" collapsed="false">
      <c r="A9" s="4" t="s">
        <v>18</v>
      </c>
      <c r="B9" s="4" t="s">
        <v>13</v>
      </c>
      <c r="C9" s="5" t="n">
        <v>756934</v>
      </c>
      <c r="D9" s="4" t="n">
        <v>0</v>
      </c>
      <c r="E9" s="4" t="n">
        <v>0</v>
      </c>
      <c r="F9" s="4" t="n">
        <v>2.5</v>
      </c>
      <c r="G9" s="4" t="n">
        <v>4296</v>
      </c>
      <c r="H9" s="5" t="n">
        <v>1857129894</v>
      </c>
      <c r="I9" s="4" t="n">
        <v>8</v>
      </c>
      <c r="J9" s="4"/>
    </row>
    <row r="10" customFormat="false" ht="15" hidden="false" customHeight="true" outlineLevel="0" collapsed="false">
      <c r="A10" s="4" t="s">
        <v>19</v>
      </c>
      <c r="B10" s="4" t="s">
        <v>13</v>
      </c>
      <c r="C10" s="5" t="n">
        <v>200000</v>
      </c>
      <c r="D10" s="4" t="n">
        <v>0</v>
      </c>
      <c r="E10" s="4" t="n">
        <v>1</v>
      </c>
      <c r="F10" s="4" t="n">
        <v>2.1</v>
      </c>
      <c r="G10" s="4" t="n">
        <v>8140</v>
      </c>
      <c r="H10" s="5" t="n">
        <v>1023880900</v>
      </c>
      <c r="I10" s="4" t="n">
        <v>7</v>
      </c>
      <c r="J10" s="4"/>
    </row>
    <row r="11" customFormat="false" ht="15" hidden="false" customHeight="true" outlineLevel="0" collapsed="false">
      <c r="A11" s="4" t="s">
        <v>20</v>
      </c>
      <c r="B11" s="4" t="s">
        <v>13</v>
      </c>
      <c r="C11" s="5" t="n">
        <v>100000</v>
      </c>
      <c r="D11" s="4" t="n">
        <v>1</v>
      </c>
      <c r="E11" s="4" t="n">
        <v>1</v>
      </c>
      <c r="F11" s="4" t="n">
        <v>2.8</v>
      </c>
      <c r="G11" s="4" t="n">
        <v>11200</v>
      </c>
      <c r="H11" s="5" t="n">
        <v>3912500000</v>
      </c>
      <c r="I11" s="4" t="n">
        <v>6</v>
      </c>
      <c r="J11" s="4"/>
    </row>
    <row r="12" customFormat="false" ht="15" hidden="false" customHeight="true" outlineLevel="0" collapsed="false">
      <c r="A12" s="4" t="s">
        <v>21</v>
      </c>
      <c r="B12" s="4" t="s">
        <v>22</v>
      </c>
      <c r="C12" s="5" t="n">
        <v>187300</v>
      </c>
      <c r="D12" s="4" t="n">
        <v>0</v>
      </c>
      <c r="E12" s="4" t="n">
        <v>0</v>
      </c>
      <c r="F12" s="4" t="n">
        <v>2.9</v>
      </c>
      <c r="G12" s="4" t="n">
        <v>15300</v>
      </c>
      <c r="H12" s="5" t="n">
        <v>3012887400</v>
      </c>
      <c r="I12" s="4" t="n">
        <v>6</v>
      </c>
      <c r="J12" s="4"/>
    </row>
    <row r="13" customFormat="false" ht="15" hidden="false" customHeight="true" outlineLevel="0" collapsed="false">
      <c r="A13" s="4" t="s">
        <v>23</v>
      </c>
      <c r="B13" s="4" t="s">
        <v>22</v>
      </c>
      <c r="C13" s="5" t="n">
        <v>243680</v>
      </c>
      <c r="D13" s="4" t="n">
        <v>0</v>
      </c>
      <c r="E13" s="4" t="n">
        <v>0</v>
      </c>
      <c r="F13" s="4" t="n">
        <v>3.2</v>
      </c>
      <c r="G13" s="4" t="n">
        <v>18400</v>
      </c>
      <c r="H13" s="5" t="n">
        <v>4320145200</v>
      </c>
      <c r="I13" s="4" t="n">
        <v>6</v>
      </c>
      <c r="J13" s="4" t="s">
        <v>24</v>
      </c>
    </row>
    <row r="14" customFormat="false" ht="15" hidden="false" customHeight="true" outlineLevel="0" collapsed="false">
      <c r="A14" s="4" t="s">
        <v>25</v>
      </c>
      <c r="B14" s="4" t="s">
        <v>22</v>
      </c>
      <c r="C14" s="5" t="n">
        <v>201870</v>
      </c>
      <c r="D14" s="4" t="n">
        <v>0</v>
      </c>
      <c r="E14" s="4" t="n">
        <v>0</v>
      </c>
      <c r="F14" s="4" t="n">
        <v>3.4</v>
      </c>
      <c r="G14" s="4" t="n">
        <v>21700</v>
      </c>
      <c r="H14" s="5" t="n">
        <v>5987220000</v>
      </c>
      <c r="I14" s="4" t="n">
        <v>5</v>
      </c>
      <c r="J14" s="4"/>
    </row>
    <row r="15" customFormat="false" ht="15" hidden="false" customHeight="true" outlineLevel="0" collapsed="false">
      <c r="A15" s="4" t="s">
        <v>26</v>
      </c>
      <c r="B15" s="4" t="s">
        <v>22</v>
      </c>
      <c r="C15" s="5" t="n">
        <v>33140</v>
      </c>
      <c r="D15" s="4" t="n">
        <v>0</v>
      </c>
      <c r="E15" s="4" t="n">
        <v>1</v>
      </c>
      <c r="F15" s="4" t="n">
        <v>4.1</v>
      </c>
      <c r="G15" s="4" t="n">
        <v>29700</v>
      </c>
      <c r="H15" s="5" t="n">
        <v>7234109000</v>
      </c>
      <c r="I15" s="4" t="n">
        <v>4</v>
      </c>
      <c r="J15" s="4"/>
    </row>
    <row r="16" customFormat="false" ht="15" hidden="false" customHeight="true" outlineLevel="0" collapsed="false">
      <c r="A16" s="4" t="s">
        <v>27</v>
      </c>
      <c r="B16" s="4" t="s">
        <v>22</v>
      </c>
      <c r="C16" s="5" t="n">
        <v>20000</v>
      </c>
      <c r="D16" s="4" t="n">
        <v>0</v>
      </c>
      <c r="E16" s="4" t="n">
        <v>1</v>
      </c>
      <c r="F16" s="4" t="n">
        <v>4.4</v>
      </c>
      <c r="G16" s="4" t="n">
        <v>27800</v>
      </c>
      <c r="H16" s="5" t="n">
        <v>8882310000</v>
      </c>
      <c r="I16" s="4" t="n">
        <v>4</v>
      </c>
      <c r="J16" s="4"/>
    </row>
    <row r="17" customFormat="false" ht="15" hidden="false" customHeight="true" outlineLevel="0" collapsed="false">
      <c r="A17" s="4" t="s">
        <v>28</v>
      </c>
      <c r="B17" s="4" t="s">
        <v>22</v>
      </c>
      <c r="C17" s="5" t="n">
        <v>119440</v>
      </c>
      <c r="D17" s="4" t="n">
        <v>1</v>
      </c>
      <c r="E17" s="4" t="n">
        <v>1</v>
      </c>
      <c r="F17" s="4" t="n">
        <v>5.2</v>
      </c>
      <c r="G17" s="4" t="n">
        <v>34100</v>
      </c>
      <c r="H17" s="5" t="n">
        <v>14129340000</v>
      </c>
      <c r="I17" s="4" t="n">
        <v>3</v>
      </c>
      <c r="J17" s="4"/>
    </row>
    <row r="18" customFormat="false" ht="15" hidden="false" customHeight="true" outlineLevel="0" collapsed="false">
      <c r="A18" s="4" t="s">
        <v>29</v>
      </c>
      <c r="B18" s="4" t="s">
        <v>22</v>
      </c>
      <c r="C18" s="5" t="n">
        <v>80560</v>
      </c>
      <c r="D18" s="4" t="n">
        <v>1</v>
      </c>
      <c r="E18" s="4" t="n">
        <v>1</v>
      </c>
      <c r="F18" s="4" t="n">
        <v>5.7</v>
      </c>
      <c r="G18" s="4" t="n">
        <v>38200</v>
      </c>
      <c r="H18" s="5" t="n">
        <v>17293400000</v>
      </c>
      <c r="I18" s="4" t="n">
        <v>3</v>
      </c>
      <c r="J18" s="4"/>
    </row>
    <row r="19" customFormat="false" ht="15" hidden="false" customHeight="true" outlineLevel="0" collapsed="false">
      <c r="A19" s="4" t="s">
        <v>30</v>
      </c>
      <c r="B19" s="4" t="s">
        <v>31</v>
      </c>
      <c r="C19" s="5" t="n">
        <v>45180</v>
      </c>
      <c r="D19" s="4" t="n">
        <v>0</v>
      </c>
      <c r="E19" s="4" t="n">
        <v>0</v>
      </c>
      <c r="F19" s="4" t="n">
        <v>4.7</v>
      </c>
      <c r="G19" s="4" t="n">
        <v>32100</v>
      </c>
      <c r="H19" s="5" t="n">
        <v>11340200000</v>
      </c>
      <c r="I19" s="4" t="n">
        <v>4</v>
      </c>
      <c r="J19" s="4"/>
    </row>
    <row r="20" customFormat="false" ht="15" hidden="false" customHeight="true" outlineLevel="0" collapsed="false">
      <c r="A20" s="4" t="s">
        <v>32</v>
      </c>
      <c r="B20" s="4" t="s">
        <v>31</v>
      </c>
      <c r="C20" s="5" t="n">
        <v>58240</v>
      </c>
      <c r="D20" s="4" t="n">
        <v>0</v>
      </c>
      <c r="E20" s="4" t="n">
        <v>0</v>
      </c>
      <c r="F20" s="4" t="n">
        <v>5.2</v>
      </c>
      <c r="G20" s="4" t="n">
        <v>39400</v>
      </c>
      <c r="H20" s="5" t="n">
        <v>19344200000</v>
      </c>
      <c r="I20" s="4" t="n">
        <v>3</v>
      </c>
      <c r="J20" s="4"/>
    </row>
    <row r="21" customFormat="false" ht="15" hidden="false" customHeight="true" outlineLevel="0" collapsed="false">
      <c r="A21" s="4" t="s">
        <v>33</v>
      </c>
      <c r="B21" s="4" t="s">
        <v>31</v>
      </c>
      <c r="C21" s="5" t="n">
        <v>33660</v>
      </c>
      <c r="D21" s="4" t="n">
        <v>0</v>
      </c>
      <c r="E21" s="4" t="n">
        <v>0</v>
      </c>
      <c r="F21" s="4" t="n">
        <v>5.8</v>
      </c>
      <c r="G21" s="4" t="n">
        <v>47200</v>
      </c>
      <c r="H21" s="5" t="n">
        <v>27830100000</v>
      </c>
      <c r="I21" s="4" t="n">
        <v>3</v>
      </c>
      <c r="J21" s="4"/>
    </row>
    <row r="22" customFormat="false" ht="15" hidden="false" customHeight="true" outlineLevel="0" collapsed="false">
      <c r="A22" s="4" t="s">
        <v>34</v>
      </c>
      <c r="B22" s="4" t="s">
        <v>31</v>
      </c>
      <c r="C22" s="5" t="n">
        <v>31060</v>
      </c>
      <c r="D22" s="4" t="n">
        <v>0</v>
      </c>
      <c r="E22" s="4" t="n">
        <v>0</v>
      </c>
      <c r="F22" s="4" t="n">
        <v>6.3</v>
      </c>
      <c r="G22" s="4" t="n">
        <v>52400</v>
      </c>
      <c r="H22" s="5" t="n">
        <v>36120000000</v>
      </c>
      <c r="I22" s="4" t="n">
        <v>3</v>
      </c>
      <c r="J22" s="4" t="s">
        <v>35</v>
      </c>
    </row>
    <row r="23" customFormat="false" ht="15" hidden="false" customHeight="true" outlineLevel="0" collapsed="false">
      <c r="A23" s="4" t="s">
        <v>36</v>
      </c>
      <c r="B23" s="4" t="s">
        <v>31</v>
      </c>
      <c r="C23" s="5" t="n">
        <v>44670</v>
      </c>
      <c r="D23" s="4" t="n">
        <v>1</v>
      </c>
      <c r="E23" s="4" t="n">
        <v>1</v>
      </c>
      <c r="F23" s="4" t="n">
        <v>7.1</v>
      </c>
      <c r="G23" s="4" t="n">
        <v>58700</v>
      </c>
      <c r="H23" s="5" t="n">
        <v>38120900000</v>
      </c>
      <c r="I23" s="4" t="n">
        <v>2</v>
      </c>
      <c r="J23" s="4"/>
    </row>
    <row r="24" customFormat="false" ht="15" hidden="false" customHeight="true" outlineLevel="0" collapsed="false">
      <c r="A24" s="4" t="s">
        <v>37</v>
      </c>
      <c r="B24" s="4" t="s">
        <v>31</v>
      </c>
      <c r="C24" s="5" t="n">
        <v>24120</v>
      </c>
      <c r="D24" s="4" t="n">
        <v>1</v>
      </c>
      <c r="E24" s="4" t="n">
        <v>1</v>
      </c>
      <c r="F24" s="4" t="n">
        <v>8.3</v>
      </c>
      <c r="G24" s="4" t="n">
        <v>71200</v>
      </c>
      <c r="H24" s="5" t="n">
        <v>51230780000</v>
      </c>
      <c r="I24" s="4" t="n">
        <v>2</v>
      </c>
      <c r="J24" s="4"/>
    </row>
    <row r="25" customFormat="false" ht="15" hidden="false" customHeight="true" outlineLevel="0" collapsed="false">
      <c r="A25" s="4" t="s">
        <v>38</v>
      </c>
      <c r="B25" s="4" t="s">
        <v>31</v>
      </c>
      <c r="C25" s="5" t="n">
        <v>16210</v>
      </c>
      <c r="D25" s="4" t="n">
        <v>1</v>
      </c>
      <c r="E25" s="4" t="n">
        <v>1</v>
      </c>
      <c r="F25" s="4" t="n">
        <v>9.1</v>
      </c>
      <c r="G25" s="4" t="n">
        <v>83400</v>
      </c>
      <c r="H25" s="5" t="n">
        <v>68920100000</v>
      </c>
      <c r="I25" s="4" t="n">
        <v>1</v>
      </c>
      <c r="J25" s="4"/>
    </row>
    <row r="26" customFormat="false" ht="15" hidden="false" customHeight="true" outlineLevel="0" collapsed="false">
      <c r="A26" s="4" t="s">
        <v>39</v>
      </c>
      <c r="B26" s="4" t="s">
        <v>40</v>
      </c>
      <c r="C26" s="5" t="n">
        <v>18140</v>
      </c>
      <c r="D26" s="4" t="n">
        <v>0</v>
      </c>
      <c r="E26" s="4" t="n">
        <v>0</v>
      </c>
      <c r="F26" s="4" t="n">
        <v>6.9</v>
      </c>
      <c r="G26" s="4" t="n">
        <v>61300</v>
      </c>
      <c r="H26" s="5" t="n">
        <v>44129000000</v>
      </c>
      <c r="I26" s="4" t="n">
        <v>2</v>
      </c>
      <c r="J26" s="4"/>
    </row>
    <row r="27" customFormat="false" ht="15" hidden="false" customHeight="true" outlineLevel="0" collapsed="false">
      <c r="A27" s="4" t="s">
        <v>41</v>
      </c>
      <c r="B27" s="4" t="s">
        <v>40</v>
      </c>
      <c r="C27" s="5" t="n">
        <v>13320</v>
      </c>
      <c r="D27" s="4" t="n">
        <v>0</v>
      </c>
      <c r="E27" s="4" t="n">
        <v>0</v>
      </c>
      <c r="F27" s="4" t="n">
        <v>8.1</v>
      </c>
      <c r="G27" s="4" t="n">
        <v>74100</v>
      </c>
      <c r="H27" s="5" t="n">
        <v>62740000000</v>
      </c>
      <c r="I27" s="4" t="n">
        <v>2</v>
      </c>
      <c r="J27" s="4"/>
    </row>
    <row r="28" customFormat="false" ht="15" hidden="false" customHeight="true" outlineLevel="0" collapsed="false">
      <c r="A28" s="4" t="s">
        <v>42</v>
      </c>
      <c r="B28" s="4" t="s">
        <v>40</v>
      </c>
      <c r="C28" s="5" t="n">
        <v>10020</v>
      </c>
      <c r="D28" s="4" t="n">
        <v>0</v>
      </c>
      <c r="E28" s="4" t="n">
        <v>0</v>
      </c>
      <c r="F28" s="4" t="n">
        <v>9.3</v>
      </c>
      <c r="G28" s="4" t="n">
        <v>94200</v>
      </c>
      <c r="H28" s="5" t="n">
        <v>98120000000</v>
      </c>
      <c r="I28" s="4" t="n">
        <v>2</v>
      </c>
      <c r="J28" s="4"/>
    </row>
    <row r="29" customFormat="false" ht="15" hidden="false" customHeight="true" outlineLevel="0" collapsed="false">
      <c r="A29" s="4" t="s">
        <v>43</v>
      </c>
      <c r="B29" s="4" t="s">
        <v>40</v>
      </c>
      <c r="C29" s="5" t="n">
        <v>6000</v>
      </c>
      <c r="D29" s="4" t="n">
        <v>0</v>
      </c>
      <c r="E29" s="4" t="n">
        <v>0</v>
      </c>
      <c r="F29" s="4" t="n">
        <v>10.4</v>
      </c>
      <c r="G29" s="4" t="n">
        <v>118300</v>
      </c>
      <c r="H29" s="5" t="n">
        <v>142340000000</v>
      </c>
      <c r="I29" s="4" t="n">
        <v>2</v>
      </c>
      <c r="J29" s="4"/>
    </row>
    <row r="30" customFormat="false" ht="15" hidden="false" customHeight="true" outlineLevel="0" collapsed="false">
      <c r="A30" s="4" t="s">
        <v>44</v>
      </c>
      <c r="B30" s="4" t="s">
        <v>40</v>
      </c>
      <c r="C30" s="5" t="n">
        <v>18430</v>
      </c>
      <c r="D30" s="4" t="n">
        <v>1</v>
      </c>
      <c r="E30" s="4" t="n">
        <v>1</v>
      </c>
      <c r="F30" s="4" t="n">
        <v>12.3</v>
      </c>
      <c r="G30" s="4" t="n">
        <v>162400</v>
      </c>
      <c r="H30" s="5" t="n">
        <v>204710000000</v>
      </c>
      <c r="I30" s="4" t="n">
        <v>1</v>
      </c>
      <c r="J30" s="4"/>
    </row>
    <row r="31" customFormat="false" ht="15" hidden="false" customHeight="true" outlineLevel="0" collapsed="false">
      <c r="A31" s="4" t="s">
        <v>45</v>
      </c>
      <c r="B31" s="4" t="s">
        <v>40</v>
      </c>
      <c r="C31" s="5" t="n">
        <v>11960</v>
      </c>
      <c r="D31" s="4" t="n">
        <v>1</v>
      </c>
      <c r="E31" s="4" t="n">
        <v>1</v>
      </c>
      <c r="F31" s="4" t="n">
        <v>15.1</v>
      </c>
      <c r="G31" s="4" t="n">
        <v>217300</v>
      </c>
      <c r="H31" s="5" t="n">
        <v>298130000000</v>
      </c>
      <c r="I31" s="4" t="n">
        <v>1</v>
      </c>
      <c r="J31" s="4"/>
    </row>
    <row r="32" customFormat="false" ht="15" hidden="false" customHeight="true" outlineLevel="0" collapsed="false">
      <c r="A32" s="4" t="s">
        <v>46</v>
      </c>
      <c r="B32" s="4" t="s">
        <v>40</v>
      </c>
      <c r="C32" s="5" t="n">
        <v>6510</v>
      </c>
      <c r="D32" s="4" t="n">
        <v>1</v>
      </c>
      <c r="E32" s="4" t="n">
        <v>1</v>
      </c>
      <c r="F32" s="4" t="n">
        <v>16.3</v>
      </c>
      <c r="G32" s="4" t="n">
        <v>241900</v>
      </c>
      <c r="H32" s="5" t="n">
        <v>342810000000</v>
      </c>
      <c r="I32" s="4" t="n">
        <v>1</v>
      </c>
      <c r="J32" s="4"/>
    </row>
    <row r="33" customFormat="false" ht="15" hidden="false" customHeight="true" outlineLevel="0" collapsed="false">
      <c r="A33" s="6" t="s">
        <v>47</v>
      </c>
      <c r="B33" s="7" t="s">
        <v>48</v>
      </c>
      <c r="C33" s="8" t="n">
        <f aca="false">SUM(C5:C32)</f>
        <v>4219000</v>
      </c>
      <c r="D33" s="6" t="n">
        <f aca="false">COUNTIF(D5:D32,1)</f>
        <v>9</v>
      </c>
      <c r="E33" s="6" t="n">
        <f aca="false">COUNTIF(E5:E32,1)</f>
        <v>12</v>
      </c>
    </row>
    <row r="34" customFormat="false" ht="15" hidden="false" customHeight="true" outlineLevel="0" collapsed="false">
      <c r="A34" s="9" t="s">
        <v>49</v>
      </c>
      <c r="C34" s="10" t="n">
        <f aca="false">SUMIF(D5:D32,1,C5:C32)</f>
        <v>421900</v>
      </c>
    </row>
    <row r="35" customFormat="false" ht="15" hidden="false" customHeight="true" outlineLevel="0" collapsed="false">
      <c r="A35" s="9" t="s">
        <v>50</v>
      </c>
      <c r="C35" s="11" t="n">
        <f aca="false">C34/C33</f>
        <v>0.1</v>
      </c>
    </row>
    <row r="36" customFormat="false" ht="15" hidden="false" customHeight="true" outlineLevel="0" collapsed="false">
      <c r="A36" s="9" t="s">
        <v>51</v>
      </c>
      <c r="C36" s="10" t="n">
        <f aca="false">SUMIF(E5:E32,1,C5:C32)</f>
        <v>675040</v>
      </c>
    </row>
    <row r="37" customFormat="false" ht="15" hidden="false" customHeight="true" outlineLevel="0" collapsed="false">
      <c r="A37" s="9" t="s">
        <v>52</v>
      </c>
      <c r="C37" s="11" t="n">
        <f aca="false">C36/C33</f>
        <v>0.16</v>
      </c>
    </row>
    <row r="40" customFormat="false" ht="15" hidden="false" customHeight="true" outlineLevel="0" collapsed="false">
      <c r="A40" s="6" t="s">
        <v>53</v>
      </c>
    </row>
    <row r="41" customFormat="false" ht="15" hidden="false" customHeight="true" outlineLevel="0" collapsed="false">
      <c r="A41" s="12" t="s">
        <v>54</v>
      </c>
    </row>
    <row r="42" customFormat="false" ht="15" hidden="false" customHeight="true" outlineLevel="0" collapsed="false">
      <c r="A42" s="13" t="s">
        <v>55</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2" min="2" style="1" width="16"/>
    <col collapsed="false" customWidth="true" hidden="false" outlineLevel="0" max="3" min="3" style="1" width="64"/>
    <col collapsed="false" customWidth="true" hidden="false" outlineLevel="0" max="4" min="4" style="1" width="18"/>
    <col collapsed="false" customWidth="true" hidden="false" outlineLevel="0" max="6" min="5" style="1" width="22"/>
    <col collapsed="false" customWidth="true" hidden="false" outlineLevel="0" max="7" min="7" style="1" width="14"/>
    <col collapsed="false" customWidth="true" hidden="false" outlineLevel="0" max="8" min="8" style="1" width="38"/>
  </cols>
  <sheetData>
    <row r="1" customFormat="false" ht="15" hidden="false" customHeight="true" outlineLevel="0" collapsed="false">
      <c r="A1" s="2" t="s">
        <v>56</v>
      </c>
      <c r="B1" s="2"/>
      <c r="C1" s="2"/>
      <c r="D1" s="2"/>
      <c r="E1" s="2"/>
      <c r="F1" s="2"/>
      <c r="G1" s="2"/>
      <c r="H1" s="2"/>
    </row>
    <row r="2" customFormat="false" ht="15" hidden="false" customHeight="true" outlineLevel="0" collapsed="false">
      <c r="A2" s="14" t="s">
        <v>57</v>
      </c>
      <c r="B2" s="14"/>
      <c r="C2" s="14"/>
      <c r="D2" s="14"/>
      <c r="E2" s="14"/>
      <c r="F2" s="14"/>
      <c r="G2" s="14"/>
      <c r="H2" s="14"/>
    </row>
    <row r="4" customFormat="false" ht="21.75" hidden="false" customHeight="true" outlineLevel="0" collapsed="false">
      <c r="A4" s="3" t="s">
        <v>58</v>
      </c>
      <c r="B4" s="3" t="s">
        <v>59</v>
      </c>
      <c r="C4" s="3" t="s">
        <v>60</v>
      </c>
      <c r="D4" s="3" t="s">
        <v>61</v>
      </c>
      <c r="E4" s="3" t="s">
        <v>62</v>
      </c>
      <c r="F4" s="3" t="s">
        <v>63</v>
      </c>
      <c r="G4" s="3" t="s">
        <v>64</v>
      </c>
      <c r="H4" s="3" t="s">
        <v>11</v>
      </c>
      <c r="I4" s="1" t="s">
        <v>65</v>
      </c>
    </row>
    <row r="5" customFormat="false" ht="15" hidden="false" customHeight="true" outlineLevel="0" collapsed="false">
      <c r="A5" s="4" t="s">
        <v>66</v>
      </c>
      <c r="B5" s="15" t="n">
        <v>68.2</v>
      </c>
      <c r="C5" s="15" t="n">
        <v>14.1</v>
      </c>
      <c r="D5" s="15" t="n">
        <v>10.8</v>
      </c>
      <c r="E5" s="15" t="n">
        <v>0.3</v>
      </c>
      <c r="F5" s="15" t="n">
        <v>71.2</v>
      </c>
      <c r="G5" s="5" t="n">
        <v>8420</v>
      </c>
      <c r="H5" s="4"/>
      <c r="I5" s="1" t="n">
        <v>0</v>
      </c>
    </row>
    <row r="6" customFormat="false" ht="15" hidden="false" customHeight="true" outlineLevel="0" collapsed="false">
      <c r="A6" s="4" t="s">
        <v>67</v>
      </c>
      <c r="B6" s="15" t="n">
        <v>71.2</v>
      </c>
      <c r="C6" s="15" t="n">
        <v>15.4</v>
      </c>
      <c r="D6" s="15" t="n">
        <v>11.7</v>
      </c>
      <c r="E6" s="15" t="n">
        <v>0.4</v>
      </c>
      <c r="F6" s="15" t="n">
        <v>74.5</v>
      </c>
      <c r="G6" s="5" t="n">
        <v>9130</v>
      </c>
      <c r="H6" s="4" t="s">
        <v>68</v>
      </c>
      <c r="I6" s="1" t="n">
        <v>0</v>
      </c>
    </row>
    <row r="7" customFormat="false" ht="15" hidden="false" customHeight="true" outlineLevel="0" collapsed="false">
      <c r="A7" s="4" t="s">
        <v>69</v>
      </c>
      <c r="B7" s="15" t="n">
        <v>74.5</v>
      </c>
      <c r="C7" s="15" t="n">
        <v>17.2</v>
      </c>
      <c r="D7" s="15" t="n">
        <v>13.1</v>
      </c>
      <c r="E7" s="15" t="n">
        <v>0.4</v>
      </c>
      <c r="F7" s="15" t="n">
        <v>78.2</v>
      </c>
      <c r="G7" s="5" t="n">
        <v>11200</v>
      </c>
      <c r="H7" s="4"/>
      <c r="I7" s="1" t="n">
        <v>0</v>
      </c>
    </row>
    <row r="8" customFormat="false" ht="15" hidden="false" customHeight="true" outlineLevel="0" collapsed="false">
      <c r="A8" s="4" t="s">
        <v>70</v>
      </c>
      <c r="B8" s="15" t="n">
        <v>78.2</v>
      </c>
      <c r="C8" s="15" t="n">
        <v>18.7</v>
      </c>
      <c r="D8" s="15" t="n">
        <v>14.2</v>
      </c>
      <c r="E8" s="15" t="n">
        <v>0.5</v>
      </c>
      <c r="F8" s="15" t="n">
        <v>87.4</v>
      </c>
      <c r="G8" s="5" t="n">
        <v>12870</v>
      </c>
      <c r="H8" s="4" t="s">
        <v>71</v>
      </c>
      <c r="I8" s="1" t="n">
        <v>5.2</v>
      </c>
    </row>
    <row r="9" customFormat="false" ht="15" hidden="false" customHeight="true" outlineLevel="0" collapsed="false">
      <c r="A9" s="4" t="s">
        <v>72</v>
      </c>
      <c r="B9" s="15" t="n">
        <v>78.2</v>
      </c>
      <c r="C9" s="15" t="n">
        <v>4.4</v>
      </c>
      <c r="D9" s="15" t="n">
        <v>3.3</v>
      </c>
      <c r="E9" s="15" t="n">
        <v>0.1</v>
      </c>
      <c r="F9" s="15" t="n">
        <v>79.2</v>
      </c>
      <c r="G9" s="5" t="n">
        <v>2980</v>
      </c>
      <c r="H9" s="4" t="s">
        <v>73</v>
      </c>
      <c r="I9" s="1" t="n">
        <v>0</v>
      </c>
    </row>
    <row r="10" customFormat="false" ht="15" hidden="false" customHeight="true" outlineLevel="0" collapsed="false">
      <c r="A10" s="4" t="s">
        <v>74</v>
      </c>
      <c r="B10" s="15" t="n">
        <v>79.2</v>
      </c>
      <c r="C10" s="15" t="n">
        <v>4.6</v>
      </c>
      <c r="D10" s="15" t="n">
        <v>3.5</v>
      </c>
      <c r="E10" s="15" t="n">
        <v>0.1</v>
      </c>
      <c r="F10" s="15" t="n">
        <v>80.2</v>
      </c>
      <c r="G10" s="5" t="n">
        <v>3210</v>
      </c>
      <c r="H10" s="4" t="s">
        <v>73</v>
      </c>
      <c r="I10" s="1" t="n">
        <v>0</v>
      </c>
    </row>
    <row r="11" customFormat="false" ht="15" hidden="false" customHeight="true" outlineLevel="0" collapsed="false">
      <c r="A11" s="4" t="s">
        <v>75</v>
      </c>
      <c r="B11" s="15" t="n">
        <v>80.2</v>
      </c>
      <c r="C11" s="15" t="n">
        <v>4.7</v>
      </c>
      <c r="D11" s="15" t="n">
        <v>3.6</v>
      </c>
      <c r="E11" s="15" t="n">
        <v>0.1</v>
      </c>
      <c r="F11" s="15" t="n">
        <v>81.2</v>
      </c>
      <c r="G11" s="5" t="n">
        <v>3290</v>
      </c>
      <c r="H11" s="4" t="s">
        <v>73</v>
      </c>
      <c r="I11" s="1" t="n">
        <v>0</v>
      </c>
    </row>
    <row r="12" customFormat="false" ht="15" hidden="false" customHeight="true" outlineLevel="0" collapsed="false">
      <c r="A12" s="4" t="s">
        <v>76</v>
      </c>
      <c r="B12" s="15" t="n">
        <v>81.2</v>
      </c>
      <c r="C12" s="15" t="n">
        <v>5</v>
      </c>
      <c r="D12" s="15" t="n">
        <v>3.8</v>
      </c>
      <c r="E12" s="15" t="n">
        <v>0.2</v>
      </c>
      <c r="F12" s="15" t="n">
        <v>87.4</v>
      </c>
      <c r="G12" s="5" t="n">
        <v>3390</v>
      </c>
      <c r="H12" s="4" t="s">
        <v>77</v>
      </c>
      <c r="I12" s="1" t="n">
        <v>5.2</v>
      </c>
    </row>
    <row r="15" customFormat="false" ht="15" hidden="false" customHeight="true" outlineLevel="0" collapsed="false">
      <c r="A15" s="16" t="s">
        <v>78</v>
      </c>
    </row>
    <row r="16" customFormat="false" ht="15" hidden="false" customHeight="true" outlineLevel="0" collapsed="false">
      <c r="A16" s="4" t="s">
        <v>79</v>
      </c>
      <c r="B16" s="4" t="s">
        <v>80</v>
      </c>
      <c r="C16" s="17" t="s">
        <v>81</v>
      </c>
    </row>
    <row r="17" customFormat="false" ht="15" hidden="false" customHeight="true" outlineLevel="0" collapsed="false">
      <c r="A17" s="4" t="s">
        <v>82</v>
      </c>
      <c r="B17" s="4" t="s">
        <v>83</v>
      </c>
      <c r="C17" s="17" t="s">
        <v>84</v>
      </c>
    </row>
    <row r="18" customFormat="false" ht="15" hidden="false" customHeight="true" outlineLevel="0" collapsed="false">
      <c r="A18" s="4" t="s">
        <v>85</v>
      </c>
      <c r="B18" s="4" t="s">
        <v>86</v>
      </c>
      <c r="C18" s="17" t="s">
        <v>87</v>
      </c>
    </row>
    <row r="19" customFormat="false" ht="15" hidden="false" customHeight="true" outlineLevel="0" collapsed="false">
      <c r="A19" s="4" t="s">
        <v>88</v>
      </c>
      <c r="B19" s="4" t="s">
        <v>89</v>
      </c>
      <c r="C19" s="17" t="s">
        <v>90</v>
      </c>
    </row>
    <row r="20" customFormat="false" ht="15" hidden="false" customHeight="true" outlineLevel="0" collapsed="false">
      <c r="A20" s="4" t="s">
        <v>91</v>
      </c>
      <c r="B20" s="4" t="s">
        <v>92</v>
      </c>
      <c r="C20" s="17" t="s">
        <v>93</v>
      </c>
    </row>
    <row r="21" customFormat="false" ht="15" hidden="false" customHeight="true" outlineLevel="0" collapsed="false">
      <c r="A21" s="4" t="s">
        <v>94</v>
      </c>
      <c r="B21" s="4" t="s">
        <v>95</v>
      </c>
      <c r="C21" s="17" t="s">
        <v>93</v>
      </c>
    </row>
    <row r="22" customFormat="false" ht="15" hidden="false" customHeight="true" outlineLevel="0" collapsed="false">
      <c r="A22" s="4" t="s">
        <v>96</v>
      </c>
      <c r="B22" s="4" t="s">
        <v>97</v>
      </c>
      <c r="C22" s="17" t="s">
        <v>98</v>
      </c>
    </row>
    <row r="23" customFormat="false" ht="15" hidden="false" customHeight="false" outlineLevel="0" collapsed="false">
      <c r="A23" s="1" t="s">
        <v>99</v>
      </c>
      <c r="C23" s="1" t="s">
        <v>100</v>
      </c>
    </row>
    <row r="25" customFormat="false" ht="15" hidden="false" customHeight="true" outlineLevel="0" collapsed="false">
      <c r="A25" s="18" t="s">
        <v>101</v>
      </c>
      <c r="B25" s="19"/>
      <c r="C25" s="19"/>
    </row>
    <row r="26" customFormat="false" ht="15" hidden="false" customHeight="true" outlineLevel="0" collapsed="false">
      <c r="A26" s="4" t="s">
        <v>102</v>
      </c>
      <c r="B26" s="20" t="n">
        <f aca="false">F8</f>
        <v>87.4</v>
      </c>
      <c r="C26" s="17" t="s">
        <v>103</v>
      </c>
    </row>
    <row r="27" customFormat="false" ht="15" hidden="false" customHeight="true" outlineLevel="0" collapsed="false">
      <c r="A27" s="4" t="s">
        <v>104</v>
      </c>
      <c r="B27" s="4" t="str">
        <f aca="false">B22</f>
        <v>38.2%</v>
      </c>
      <c r="C27" s="17" t="s">
        <v>105</v>
      </c>
    </row>
    <row r="28" customFormat="false" ht="15" hidden="false" customHeight="true" outlineLevel="0" collapsed="false">
      <c r="A28" s="21" t="s">
        <v>106</v>
      </c>
      <c r="B28" s="4"/>
      <c r="C28" s="22" t="s">
        <v>107</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8"/>
    <col collapsed="false" customWidth="true" hidden="false" outlineLevel="0" max="3" min="3" style="1" width="14"/>
    <col collapsed="false" customWidth="true" hidden="false" outlineLevel="0" max="4" min="4" style="1" width="20"/>
    <col collapsed="false" customWidth="true" hidden="false" outlineLevel="0" max="6" min="5" style="1" width="22"/>
    <col collapsed="false" customWidth="true" hidden="false" outlineLevel="0" max="7" min="7" style="1" width="20"/>
    <col collapsed="false" customWidth="true" hidden="false" outlineLevel="0" max="9" min="8" style="1" width="18"/>
    <col collapsed="false" customWidth="true" hidden="false" outlineLevel="0" max="10" min="10" style="1" width="22"/>
    <col collapsed="false" customWidth="true" hidden="false" outlineLevel="0" max="11" min="11" style="1" width="32"/>
  </cols>
  <sheetData>
    <row r="1" customFormat="false" ht="15" hidden="false" customHeight="true" outlineLevel="0" collapsed="false">
      <c r="A1" s="2" t="s">
        <v>108</v>
      </c>
      <c r="B1" s="2"/>
      <c r="C1" s="2"/>
      <c r="D1" s="2"/>
      <c r="E1" s="2"/>
      <c r="F1" s="2"/>
      <c r="G1" s="2"/>
      <c r="H1" s="2"/>
      <c r="I1" s="2"/>
      <c r="J1" s="2"/>
      <c r="K1" s="2"/>
    </row>
    <row r="2" customFormat="false" ht="15" hidden="false" customHeight="true" outlineLevel="0" collapsed="false">
      <c r="A2" s="14" t="s">
        <v>109</v>
      </c>
      <c r="B2" s="14"/>
      <c r="C2" s="14"/>
      <c r="D2" s="14"/>
      <c r="E2" s="14"/>
      <c r="F2" s="14"/>
      <c r="G2" s="14"/>
      <c r="H2" s="14"/>
      <c r="I2" s="14"/>
      <c r="J2" s="14"/>
      <c r="K2" s="14"/>
    </row>
    <row r="4" customFormat="false" ht="15" hidden="false" customHeight="true" outlineLevel="0" collapsed="false">
      <c r="A4" s="3" t="s">
        <v>110</v>
      </c>
      <c r="B4" s="3" t="s">
        <v>111</v>
      </c>
      <c r="C4" s="3" t="s">
        <v>112</v>
      </c>
      <c r="D4" s="3" t="s">
        <v>113</v>
      </c>
      <c r="E4" s="3" t="s">
        <v>114</v>
      </c>
      <c r="F4" s="3" t="s">
        <v>115</v>
      </c>
      <c r="G4" s="3" t="s">
        <v>116</v>
      </c>
      <c r="H4" s="3" t="s">
        <v>117</v>
      </c>
      <c r="I4" s="3" t="s">
        <v>118</v>
      </c>
      <c r="J4" s="3" t="s">
        <v>119</v>
      </c>
      <c r="K4" s="3" t="s">
        <v>11</v>
      </c>
    </row>
    <row r="5" customFormat="false" ht="15" hidden="false" customHeight="true" outlineLevel="0" collapsed="false">
      <c r="A5" s="4" t="s">
        <v>120</v>
      </c>
      <c r="B5" s="4" t="s">
        <v>121</v>
      </c>
      <c r="C5" s="4" t="n">
        <v>1</v>
      </c>
      <c r="D5" s="5" t="n">
        <v>697</v>
      </c>
      <c r="E5" s="4" t="n">
        <v>3</v>
      </c>
      <c r="F5" s="4" t="n">
        <v>3.9</v>
      </c>
      <c r="G5" s="23" t="n">
        <v>0.3</v>
      </c>
      <c r="H5" s="5" t="n">
        <v>5032</v>
      </c>
      <c r="I5" s="5" t="n">
        <v>5710</v>
      </c>
      <c r="J5" s="4" t="n">
        <v>1</v>
      </c>
      <c r="K5" s="4"/>
    </row>
    <row r="6" customFormat="false" ht="15" hidden="false" customHeight="true" outlineLevel="0" collapsed="false">
      <c r="A6" s="4" t="s">
        <v>122</v>
      </c>
      <c r="B6" s="4" t="s">
        <v>123</v>
      </c>
      <c r="C6" s="4" t="n">
        <v>0</v>
      </c>
      <c r="D6" s="5" t="n">
        <v>463</v>
      </c>
      <c r="E6" s="4" t="n">
        <v>1.9</v>
      </c>
      <c r="F6" s="4" t="n">
        <v>2.2</v>
      </c>
      <c r="G6" s="23" t="n">
        <v>0.158</v>
      </c>
      <c r="H6" s="5" t="n">
        <v>6343</v>
      </c>
      <c r="I6" s="5" t="n">
        <v>7750</v>
      </c>
      <c r="J6" s="4" t="n">
        <v>1</v>
      </c>
      <c r="K6" s="4"/>
    </row>
    <row r="7" customFormat="false" ht="15" hidden="false" customHeight="true" outlineLevel="0" collapsed="false">
      <c r="A7" s="4" t="s">
        <v>124</v>
      </c>
      <c r="B7" s="4" t="s">
        <v>125</v>
      </c>
      <c r="C7" s="4" t="n">
        <v>1</v>
      </c>
      <c r="D7" s="5" t="n">
        <v>939</v>
      </c>
      <c r="E7" s="4" t="n">
        <v>2.9</v>
      </c>
      <c r="F7" s="4" t="n">
        <v>3.6</v>
      </c>
      <c r="G7" s="23" t="n">
        <v>0.241</v>
      </c>
      <c r="H7" s="5" t="n">
        <v>13389</v>
      </c>
      <c r="I7" s="5" t="n">
        <v>15016</v>
      </c>
      <c r="J7" s="4" t="n">
        <v>1</v>
      </c>
      <c r="K7" s="4"/>
    </row>
    <row r="8" customFormat="false" ht="15" hidden="false" customHeight="true" outlineLevel="0" collapsed="false">
      <c r="A8" s="4" t="s">
        <v>126</v>
      </c>
      <c r="B8" s="4" t="s">
        <v>127</v>
      </c>
      <c r="C8" s="4" t="n">
        <v>0</v>
      </c>
      <c r="D8" s="5" t="n">
        <v>1084</v>
      </c>
      <c r="E8" s="4" t="n">
        <v>3.5</v>
      </c>
      <c r="F8" s="4" t="n">
        <v>3.9</v>
      </c>
      <c r="G8" s="23" t="n">
        <v>0.114</v>
      </c>
      <c r="H8" s="5" t="n">
        <v>4790</v>
      </c>
      <c r="I8" s="5" t="n">
        <v>6004</v>
      </c>
      <c r="J8" s="4" t="n">
        <v>1</v>
      </c>
      <c r="K8" s="4"/>
    </row>
    <row r="9" customFormat="false" ht="15" hidden="false" customHeight="true" outlineLevel="0" collapsed="false">
      <c r="A9" s="4" t="s">
        <v>128</v>
      </c>
      <c r="B9" s="4" t="s">
        <v>129</v>
      </c>
      <c r="C9" s="4" t="n">
        <v>1</v>
      </c>
      <c r="D9" s="5" t="n">
        <v>331</v>
      </c>
      <c r="E9" s="4" t="n">
        <v>2.8</v>
      </c>
      <c r="F9" s="4" t="n">
        <v>2.7</v>
      </c>
      <c r="G9" s="23" t="n">
        <v>-0.036</v>
      </c>
      <c r="H9" s="5" t="n">
        <v>10174</v>
      </c>
      <c r="I9" s="5" t="n">
        <v>10579</v>
      </c>
      <c r="J9" s="4" t="n">
        <v>0</v>
      </c>
      <c r="K9" s="4"/>
    </row>
    <row r="10" customFormat="false" ht="15" hidden="false" customHeight="true" outlineLevel="0" collapsed="false">
      <c r="A10" s="4" t="s">
        <v>130</v>
      </c>
      <c r="B10" s="4" t="s">
        <v>131</v>
      </c>
      <c r="C10" s="4" t="n">
        <v>0</v>
      </c>
      <c r="D10" s="5" t="n">
        <v>1061</v>
      </c>
      <c r="E10" s="4" t="n">
        <v>1.9</v>
      </c>
      <c r="F10" s="4" t="n">
        <v>2.2</v>
      </c>
      <c r="G10" s="23" t="n">
        <v>0.158</v>
      </c>
      <c r="H10" s="5" t="n">
        <v>15374</v>
      </c>
      <c r="I10" s="5" t="n">
        <v>17832</v>
      </c>
      <c r="J10" s="4" t="n">
        <v>1</v>
      </c>
      <c r="K10" s="4"/>
    </row>
    <row r="11" customFormat="false" ht="15" hidden="false" customHeight="true" outlineLevel="0" collapsed="false">
      <c r="A11" s="4" t="s">
        <v>132</v>
      </c>
      <c r="B11" s="4" t="s">
        <v>133</v>
      </c>
      <c r="C11" s="4" t="n">
        <v>1</v>
      </c>
      <c r="D11" s="5" t="n">
        <v>978</v>
      </c>
      <c r="E11" s="4" t="n">
        <v>3.1</v>
      </c>
      <c r="F11" s="4" t="n">
        <v>4</v>
      </c>
      <c r="G11" s="23" t="n">
        <v>0.29</v>
      </c>
      <c r="H11" s="5" t="n">
        <v>14368</v>
      </c>
      <c r="I11" s="5" t="n">
        <v>17815</v>
      </c>
      <c r="J11" s="4" t="n">
        <v>1</v>
      </c>
      <c r="K11" s="4"/>
    </row>
    <row r="12" customFormat="false" ht="15" hidden="false" customHeight="true" outlineLevel="0" collapsed="false">
      <c r="A12" s="4" t="s">
        <v>134</v>
      </c>
      <c r="B12" s="4" t="s">
        <v>135</v>
      </c>
      <c r="C12" s="4" t="n">
        <v>0</v>
      </c>
      <c r="D12" s="5" t="n">
        <v>422</v>
      </c>
      <c r="E12" s="4" t="n">
        <v>3.9</v>
      </c>
      <c r="F12" s="4" t="n">
        <v>5.1</v>
      </c>
      <c r="G12" s="23" t="n">
        <v>0.308</v>
      </c>
      <c r="H12" s="5" t="n">
        <v>17483</v>
      </c>
      <c r="I12" s="5" t="n">
        <v>20076</v>
      </c>
      <c r="J12" s="4" t="n">
        <v>1</v>
      </c>
      <c r="K12" s="4"/>
    </row>
    <row r="13" customFormat="false" ht="15" hidden="false" customHeight="true" outlineLevel="0" collapsed="false">
      <c r="A13" s="4" t="s">
        <v>136</v>
      </c>
      <c r="B13" s="4" t="s">
        <v>137</v>
      </c>
      <c r="C13" s="4" t="n">
        <v>1</v>
      </c>
      <c r="D13" s="5" t="n">
        <v>363</v>
      </c>
      <c r="E13" s="4" t="n">
        <v>3.6</v>
      </c>
      <c r="F13" s="4" t="n">
        <v>4.2</v>
      </c>
      <c r="G13" s="23" t="n">
        <v>0.167</v>
      </c>
      <c r="H13" s="5" t="n">
        <v>10945</v>
      </c>
      <c r="I13" s="5" t="n">
        <v>13663</v>
      </c>
      <c r="J13" s="4" t="n">
        <v>1</v>
      </c>
      <c r="K13" s="4"/>
    </row>
    <row r="14" customFormat="false" ht="15" hidden="false" customHeight="true" outlineLevel="0" collapsed="false">
      <c r="A14" s="4" t="s">
        <v>138</v>
      </c>
      <c r="B14" s="4" t="s">
        <v>139</v>
      </c>
      <c r="C14" s="4" t="n">
        <v>0</v>
      </c>
      <c r="D14" s="5" t="n">
        <v>1010</v>
      </c>
      <c r="E14" s="4" t="n">
        <v>2.4</v>
      </c>
      <c r="F14" s="4" t="n">
        <v>2.7</v>
      </c>
      <c r="G14" s="23" t="n">
        <v>0.125</v>
      </c>
      <c r="H14" s="5" t="n">
        <v>15689</v>
      </c>
      <c r="I14" s="5" t="n">
        <v>17843</v>
      </c>
      <c r="J14" s="4" t="n">
        <v>1</v>
      </c>
      <c r="K14" s="4"/>
    </row>
    <row r="15" customFormat="false" ht="15" hidden="false" customHeight="true" outlineLevel="0" collapsed="false">
      <c r="A15" s="4" t="s">
        <v>140</v>
      </c>
      <c r="B15" s="4" t="s">
        <v>121</v>
      </c>
      <c r="C15" s="4" t="n">
        <v>1</v>
      </c>
      <c r="D15" s="5" t="n">
        <v>1059</v>
      </c>
      <c r="E15" s="4" t="n">
        <v>2.9</v>
      </c>
      <c r="F15" s="4" t="n">
        <v>3.3</v>
      </c>
      <c r="G15" s="23" t="n">
        <v>0.138</v>
      </c>
      <c r="H15" s="5" t="n">
        <v>11741</v>
      </c>
      <c r="I15" s="5" t="n">
        <v>13806</v>
      </c>
      <c r="J15" s="4" t="n">
        <v>1</v>
      </c>
      <c r="K15" s="4"/>
    </row>
    <row r="16" customFormat="false" ht="15" hidden="false" customHeight="true" outlineLevel="0" collapsed="false">
      <c r="A16" s="4" t="s">
        <v>141</v>
      </c>
      <c r="B16" s="4" t="s">
        <v>123</v>
      </c>
      <c r="C16" s="4" t="n">
        <v>0</v>
      </c>
      <c r="D16" s="5" t="n">
        <v>1072</v>
      </c>
      <c r="E16" s="4" t="n">
        <v>2.3</v>
      </c>
      <c r="F16" s="4" t="n">
        <v>2.2</v>
      </c>
      <c r="G16" s="23" t="n">
        <v>-0.043</v>
      </c>
      <c r="H16" s="5" t="n">
        <v>7364</v>
      </c>
      <c r="I16" s="5" t="n">
        <v>7289</v>
      </c>
      <c r="J16" s="4" t="n">
        <v>0</v>
      </c>
      <c r="K16" s="4"/>
    </row>
    <row r="17" customFormat="false" ht="15" hidden="false" customHeight="true" outlineLevel="0" collapsed="false">
      <c r="A17" s="4" t="s">
        <v>142</v>
      </c>
      <c r="B17" s="4" t="s">
        <v>125</v>
      </c>
      <c r="C17" s="4" t="n">
        <v>1</v>
      </c>
      <c r="D17" s="5" t="n">
        <v>251</v>
      </c>
      <c r="E17" s="4" t="n">
        <v>4.1</v>
      </c>
      <c r="F17" s="4" t="n">
        <v>4.7</v>
      </c>
      <c r="G17" s="23" t="n">
        <v>0.146</v>
      </c>
      <c r="H17" s="5" t="n">
        <v>14710</v>
      </c>
      <c r="I17" s="5" t="n">
        <v>17674</v>
      </c>
      <c r="J17" s="4" t="n">
        <v>1</v>
      </c>
      <c r="K17" s="4"/>
    </row>
    <row r="18" customFormat="false" ht="15" hidden="false" customHeight="true" outlineLevel="0" collapsed="false">
      <c r="A18" s="4" t="s">
        <v>143</v>
      </c>
      <c r="B18" s="4" t="s">
        <v>127</v>
      </c>
      <c r="C18" s="4" t="n">
        <v>0</v>
      </c>
      <c r="D18" s="5" t="n">
        <v>1043</v>
      </c>
      <c r="E18" s="4" t="n">
        <v>3.1</v>
      </c>
      <c r="F18" s="4" t="n">
        <v>3.2</v>
      </c>
      <c r="G18" s="23" t="n">
        <v>0.032</v>
      </c>
      <c r="H18" s="5" t="n">
        <v>6089</v>
      </c>
      <c r="I18" s="5" t="n">
        <v>6318</v>
      </c>
      <c r="J18" s="4" t="n">
        <v>0</v>
      </c>
      <c r="K18" s="4"/>
    </row>
    <row r="19" customFormat="false" ht="15" hidden="false" customHeight="true" outlineLevel="0" collapsed="false">
      <c r="A19" s="4" t="s">
        <v>144</v>
      </c>
      <c r="B19" s="4" t="s">
        <v>129</v>
      </c>
      <c r="C19" s="4" t="n">
        <v>1</v>
      </c>
      <c r="D19" s="5" t="n">
        <v>774</v>
      </c>
      <c r="E19" s="4" t="n">
        <v>4.1</v>
      </c>
      <c r="F19" s="4" t="n">
        <v>4.7</v>
      </c>
      <c r="G19" s="23" t="n">
        <v>0.146</v>
      </c>
      <c r="H19" s="5" t="n">
        <v>5976</v>
      </c>
      <c r="I19" s="5" t="n">
        <v>7263</v>
      </c>
      <c r="J19" s="4" t="n">
        <v>1</v>
      </c>
      <c r="K19" s="4"/>
    </row>
    <row r="20" customFormat="false" ht="15" hidden="false" customHeight="true" outlineLevel="0" collapsed="false">
      <c r="A20" s="4" t="s">
        <v>145</v>
      </c>
      <c r="B20" s="4" t="s">
        <v>131</v>
      </c>
      <c r="C20" s="4" t="n">
        <v>0</v>
      </c>
      <c r="D20" s="5" t="n">
        <v>985</v>
      </c>
      <c r="E20" s="4" t="n">
        <v>2.6</v>
      </c>
      <c r="F20" s="4" t="n">
        <v>2.6</v>
      </c>
      <c r="G20" s="23" t="n">
        <v>0</v>
      </c>
      <c r="H20" s="5" t="n">
        <v>12579</v>
      </c>
      <c r="I20" s="5" t="n">
        <v>12095</v>
      </c>
      <c r="J20" s="4" t="n">
        <v>0</v>
      </c>
      <c r="K20" s="4" t="s">
        <v>146</v>
      </c>
    </row>
    <row r="21" customFormat="false" ht="15" hidden="false" customHeight="true" outlineLevel="0" collapsed="false">
      <c r="A21" s="4" t="s">
        <v>147</v>
      </c>
      <c r="B21" s="4" t="s">
        <v>133</v>
      </c>
      <c r="C21" s="4" t="n">
        <v>1</v>
      </c>
      <c r="D21" s="5" t="n">
        <v>374</v>
      </c>
      <c r="E21" s="4" t="n">
        <v>2.4</v>
      </c>
      <c r="F21" s="4" t="n">
        <v>2.4</v>
      </c>
      <c r="G21" s="23" t="n">
        <v>0</v>
      </c>
      <c r="H21" s="5" t="n">
        <v>4227</v>
      </c>
      <c r="I21" s="5" t="n">
        <v>4095</v>
      </c>
      <c r="J21" s="4" t="n">
        <v>0</v>
      </c>
      <c r="K21" s="4"/>
    </row>
    <row r="22" customFormat="false" ht="15" hidden="false" customHeight="true" outlineLevel="0" collapsed="false">
      <c r="A22" s="4" t="s">
        <v>148</v>
      </c>
      <c r="B22" s="4" t="s">
        <v>135</v>
      </c>
      <c r="C22" s="4" t="n">
        <v>0</v>
      </c>
      <c r="D22" s="5" t="n">
        <v>883</v>
      </c>
      <c r="E22" s="4" t="n">
        <v>3.5</v>
      </c>
      <c r="F22" s="4" t="n">
        <v>4.4</v>
      </c>
      <c r="G22" s="23" t="n">
        <v>0.257</v>
      </c>
      <c r="H22" s="5" t="n">
        <v>15187</v>
      </c>
      <c r="I22" s="5" t="n">
        <v>17488</v>
      </c>
      <c r="J22" s="4" t="n">
        <v>1</v>
      </c>
      <c r="K22" s="4"/>
    </row>
    <row r="23" customFormat="false" ht="15" hidden="false" customHeight="true" outlineLevel="0" collapsed="false">
      <c r="A23" s="4" t="s">
        <v>149</v>
      </c>
      <c r="B23" s="4" t="s">
        <v>137</v>
      </c>
      <c r="C23" s="4" t="n">
        <v>1</v>
      </c>
      <c r="D23" s="5" t="n">
        <v>1151</v>
      </c>
      <c r="E23" s="4" t="n">
        <v>3.4</v>
      </c>
      <c r="F23" s="4" t="n">
        <v>3.4</v>
      </c>
      <c r="G23" s="23" t="n">
        <v>0</v>
      </c>
      <c r="H23" s="5" t="n">
        <v>9343</v>
      </c>
      <c r="I23" s="5" t="n">
        <v>9495</v>
      </c>
      <c r="J23" s="4" t="n">
        <v>0</v>
      </c>
      <c r="K23" s="4"/>
    </row>
    <row r="24" customFormat="false" ht="15" hidden="false" customHeight="true" outlineLevel="0" collapsed="false">
      <c r="A24" s="4" t="s">
        <v>150</v>
      </c>
      <c r="B24" s="4" t="s">
        <v>139</v>
      </c>
      <c r="C24" s="4" t="n">
        <v>0</v>
      </c>
      <c r="D24" s="5" t="n">
        <v>1101</v>
      </c>
      <c r="E24" s="4" t="n">
        <v>2.5</v>
      </c>
      <c r="F24" s="4" t="n">
        <v>2.9</v>
      </c>
      <c r="G24" s="23" t="n">
        <v>0.16</v>
      </c>
      <c r="H24" s="5" t="n">
        <v>10891</v>
      </c>
      <c r="I24" s="5" t="n">
        <v>12766</v>
      </c>
      <c r="J24" s="4" t="n">
        <v>1</v>
      </c>
      <c r="K24" s="4"/>
    </row>
    <row r="25" customFormat="false" ht="15" hidden="false" customHeight="true" outlineLevel="0" collapsed="false">
      <c r="A25" s="4" t="s">
        <v>151</v>
      </c>
      <c r="B25" s="4" t="s">
        <v>121</v>
      </c>
      <c r="C25" s="4" t="n">
        <v>1</v>
      </c>
      <c r="D25" s="5" t="n">
        <v>747</v>
      </c>
      <c r="E25" s="4" t="n">
        <v>2.1</v>
      </c>
      <c r="F25" s="4" t="n">
        <v>2.5</v>
      </c>
      <c r="G25" s="23" t="n">
        <v>0.19</v>
      </c>
      <c r="H25" s="5" t="n">
        <v>10411</v>
      </c>
      <c r="I25" s="5" t="n">
        <v>12788</v>
      </c>
      <c r="J25" s="4" t="n">
        <v>1</v>
      </c>
      <c r="K25" s="4"/>
    </row>
    <row r="26" customFormat="false" ht="15" hidden="false" customHeight="true" outlineLevel="0" collapsed="false">
      <c r="A26" s="4" t="s">
        <v>152</v>
      </c>
      <c r="B26" s="4" t="s">
        <v>123</v>
      </c>
      <c r="C26" s="4" t="n">
        <v>0</v>
      </c>
      <c r="D26" s="5" t="n">
        <v>810</v>
      </c>
      <c r="E26" s="4" t="n">
        <v>3.2</v>
      </c>
      <c r="F26" s="4" t="n">
        <v>3.8</v>
      </c>
      <c r="G26" s="23" t="n">
        <v>0.187</v>
      </c>
      <c r="H26" s="5" t="n">
        <v>17859</v>
      </c>
      <c r="I26" s="5" t="n">
        <v>20003</v>
      </c>
      <c r="J26" s="4" t="n">
        <v>1</v>
      </c>
      <c r="K26" s="4"/>
    </row>
    <row r="27" customFormat="false" ht="15" hidden="false" customHeight="true" outlineLevel="0" collapsed="false">
      <c r="A27" s="4" t="s">
        <v>153</v>
      </c>
      <c r="B27" s="4" t="s">
        <v>125</v>
      </c>
      <c r="C27" s="4" t="n">
        <v>1</v>
      </c>
      <c r="D27" s="5" t="n">
        <v>620</v>
      </c>
      <c r="E27" s="4" t="n">
        <v>3.7</v>
      </c>
      <c r="F27" s="4" t="n">
        <v>4.5</v>
      </c>
      <c r="G27" s="23" t="n">
        <v>0.216</v>
      </c>
      <c r="H27" s="5" t="n">
        <v>9479</v>
      </c>
      <c r="I27" s="5" t="n">
        <v>11321</v>
      </c>
      <c r="J27" s="4" t="n">
        <v>1</v>
      </c>
      <c r="K27" s="4"/>
    </row>
    <row r="28" customFormat="false" ht="15" hidden="false" customHeight="true" outlineLevel="0" collapsed="false">
      <c r="A28" s="4" t="s">
        <v>154</v>
      </c>
      <c r="B28" s="4" t="s">
        <v>127</v>
      </c>
      <c r="C28" s="4" t="n">
        <v>0</v>
      </c>
      <c r="D28" s="5" t="n">
        <v>398</v>
      </c>
      <c r="E28" s="4" t="n">
        <v>3</v>
      </c>
      <c r="F28" s="4" t="n">
        <v>3.8</v>
      </c>
      <c r="G28" s="23" t="n">
        <v>0.267</v>
      </c>
      <c r="H28" s="5" t="n">
        <v>17242</v>
      </c>
      <c r="I28" s="5" t="n">
        <v>21341</v>
      </c>
      <c r="J28" s="4" t="n">
        <v>1</v>
      </c>
      <c r="K28" s="4"/>
    </row>
    <row r="29" customFormat="false" ht="15" hidden="false" customHeight="true" outlineLevel="0" collapsed="false">
      <c r="A29" s="4" t="s">
        <v>155</v>
      </c>
      <c r="B29" s="4" t="s">
        <v>129</v>
      </c>
      <c r="C29" s="4" t="n">
        <v>1</v>
      </c>
      <c r="D29" s="5" t="n">
        <v>389</v>
      </c>
      <c r="E29" s="4" t="n">
        <v>3</v>
      </c>
      <c r="F29" s="4" t="n">
        <v>3</v>
      </c>
      <c r="G29" s="23" t="n">
        <v>0</v>
      </c>
      <c r="H29" s="5" t="n">
        <v>9691</v>
      </c>
      <c r="I29" s="5" t="n">
        <v>10998</v>
      </c>
      <c r="J29" s="4" t="n">
        <v>0</v>
      </c>
      <c r="K29" s="4"/>
    </row>
    <row r="30" customFormat="false" ht="15" hidden="false" customHeight="true" outlineLevel="0" collapsed="false">
      <c r="A30" s="4" t="s">
        <v>155</v>
      </c>
      <c r="B30" s="4" t="s">
        <v>131</v>
      </c>
      <c r="C30" s="4" t="n">
        <v>0</v>
      </c>
      <c r="D30" s="5" t="n">
        <v>420</v>
      </c>
      <c r="E30" s="4" t="n">
        <v>3.4</v>
      </c>
      <c r="F30" s="4" t="n">
        <v>3.9</v>
      </c>
      <c r="G30" s="23" t="n">
        <v>0.147</v>
      </c>
      <c r="H30" s="5" t="n">
        <v>7462</v>
      </c>
      <c r="I30" s="5" t="n">
        <v>8533</v>
      </c>
      <c r="J30" s="4" t="n">
        <v>1</v>
      </c>
      <c r="K30" s="4"/>
    </row>
    <row r="31" customFormat="false" ht="15" hidden="false" customHeight="true" outlineLevel="0" collapsed="false">
      <c r="A31" s="4" t="s">
        <v>156</v>
      </c>
      <c r="B31" s="4" t="s">
        <v>133</v>
      </c>
      <c r="C31" s="4" t="n">
        <v>1</v>
      </c>
      <c r="D31" s="5" t="n">
        <v>974</v>
      </c>
      <c r="E31" s="4" t="n">
        <v>2.9</v>
      </c>
      <c r="F31" s="4" t="n">
        <v>3</v>
      </c>
      <c r="G31" s="23" t="n">
        <v>0.034</v>
      </c>
      <c r="H31" s="5" t="n">
        <v>5393</v>
      </c>
      <c r="I31" s="5" t="n">
        <v>5368</v>
      </c>
      <c r="J31" s="4" t="n">
        <v>0</v>
      </c>
      <c r="K31" s="4"/>
    </row>
    <row r="32" customFormat="false" ht="15" hidden="false" customHeight="true" outlineLevel="0" collapsed="false">
      <c r="A32" s="4" t="s">
        <v>157</v>
      </c>
      <c r="B32" s="4" t="s">
        <v>135</v>
      </c>
      <c r="C32" s="4" t="n">
        <v>0</v>
      </c>
      <c r="D32" s="5" t="n">
        <v>769</v>
      </c>
      <c r="E32" s="4" t="n">
        <v>2.3</v>
      </c>
      <c r="F32" s="4" t="n">
        <v>2.3</v>
      </c>
      <c r="G32" s="23" t="n">
        <v>0</v>
      </c>
      <c r="H32" s="5" t="n">
        <v>12299</v>
      </c>
      <c r="I32" s="5" t="n">
        <v>12175</v>
      </c>
      <c r="J32" s="4" t="n">
        <v>0</v>
      </c>
      <c r="K32" s="4"/>
    </row>
    <row r="33" customFormat="false" ht="15" hidden="false" customHeight="true" outlineLevel="0" collapsed="false">
      <c r="A33" s="4" t="s">
        <v>158</v>
      </c>
      <c r="B33" s="4" t="s">
        <v>137</v>
      </c>
      <c r="C33" s="4" t="n">
        <v>1</v>
      </c>
      <c r="D33" s="5" t="n">
        <v>884</v>
      </c>
      <c r="E33" s="4" t="n">
        <v>1.8</v>
      </c>
      <c r="F33" s="4" t="n">
        <v>2.3</v>
      </c>
      <c r="G33" s="23" t="n">
        <v>0.278</v>
      </c>
      <c r="H33" s="5" t="n">
        <v>16816</v>
      </c>
      <c r="I33" s="5" t="n">
        <v>21216</v>
      </c>
      <c r="J33" s="4" t="n">
        <v>1</v>
      </c>
      <c r="K33" s="4"/>
    </row>
    <row r="34" customFormat="false" ht="15" hidden="false" customHeight="true" outlineLevel="0" collapsed="false">
      <c r="A34" s="4" t="s">
        <v>159</v>
      </c>
      <c r="B34" s="4" t="s">
        <v>139</v>
      </c>
      <c r="C34" s="4" t="n">
        <v>0</v>
      </c>
      <c r="D34" s="5" t="n">
        <v>404</v>
      </c>
      <c r="E34" s="4" t="n">
        <v>2.2</v>
      </c>
      <c r="F34" s="4" t="n">
        <v>2.3</v>
      </c>
      <c r="G34" s="23" t="n">
        <v>0.045</v>
      </c>
      <c r="H34" s="5" t="n">
        <v>12686</v>
      </c>
      <c r="I34" s="5" t="n">
        <v>12641</v>
      </c>
      <c r="J34" s="4" t="n">
        <v>0</v>
      </c>
      <c r="K34" s="4"/>
    </row>
    <row r="35" customFormat="false" ht="15" hidden="false" customHeight="true" outlineLevel="0" collapsed="false">
      <c r="A35" s="4" t="s">
        <v>160</v>
      </c>
      <c r="B35" s="4" t="s">
        <v>121</v>
      </c>
      <c r="C35" s="4" t="n">
        <v>1</v>
      </c>
      <c r="D35" s="5" t="n">
        <v>1119</v>
      </c>
      <c r="E35" s="4" t="n">
        <v>3.8</v>
      </c>
      <c r="F35" s="4" t="n">
        <v>4.5</v>
      </c>
      <c r="G35" s="23" t="n">
        <v>0.184</v>
      </c>
      <c r="H35" s="5" t="n">
        <v>17330</v>
      </c>
      <c r="I35" s="5" t="n">
        <v>20697</v>
      </c>
      <c r="J35" s="4" t="n">
        <v>1</v>
      </c>
      <c r="K35" s="4"/>
    </row>
    <row r="36" customFormat="false" ht="15" hidden="false" customHeight="true" outlineLevel="0" collapsed="false">
      <c r="A36" s="4" t="s">
        <v>161</v>
      </c>
      <c r="B36" s="4" t="s">
        <v>123</v>
      </c>
      <c r="C36" s="4" t="n">
        <v>0</v>
      </c>
      <c r="D36" s="5" t="n">
        <v>752</v>
      </c>
      <c r="E36" s="4" t="n">
        <v>3.2</v>
      </c>
      <c r="F36" s="4" t="n">
        <v>4.2</v>
      </c>
      <c r="G36" s="23" t="n">
        <v>0.312</v>
      </c>
      <c r="H36" s="5" t="n">
        <v>11451</v>
      </c>
      <c r="I36" s="5" t="n">
        <v>13947</v>
      </c>
      <c r="J36" s="4" t="n">
        <v>1</v>
      </c>
      <c r="K36" s="4"/>
    </row>
    <row r="37" customFormat="false" ht="15" hidden="false" customHeight="true" outlineLevel="0" collapsed="false">
      <c r="A37" s="4" t="s">
        <v>162</v>
      </c>
      <c r="B37" s="4" t="s">
        <v>125</v>
      </c>
      <c r="C37" s="4" t="n">
        <v>1</v>
      </c>
      <c r="D37" s="5" t="n">
        <v>696</v>
      </c>
      <c r="E37" s="4" t="n">
        <v>2.8</v>
      </c>
      <c r="F37" s="4" t="n">
        <v>3.6</v>
      </c>
      <c r="G37" s="23" t="n">
        <v>0.286</v>
      </c>
      <c r="H37" s="5" t="n">
        <v>11505</v>
      </c>
      <c r="I37" s="5" t="n">
        <v>14537</v>
      </c>
      <c r="J37" s="4" t="n">
        <v>1</v>
      </c>
      <c r="K37" s="4"/>
    </row>
    <row r="38" customFormat="false" ht="15" hidden="false" customHeight="true" outlineLevel="0" collapsed="false">
      <c r="A38" s="4" t="s">
        <v>163</v>
      </c>
      <c r="B38" s="4" t="s">
        <v>127</v>
      </c>
      <c r="C38" s="4" t="n">
        <v>0</v>
      </c>
      <c r="D38" s="5" t="n">
        <v>666</v>
      </c>
      <c r="E38" s="4" t="n">
        <v>2.9</v>
      </c>
      <c r="F38" s="4" t="n">
        <v>2.9</v>
      </c>
      <c r="G38" s="23" t="n">
        <v>0</v>
      </c>
      <c r="H38" s="5" t="n">
        <v>17960</v>
      </c>
      <c r="I38" s="5" t="n">
        <v>18207</v>
      </c>
      <c r="J38" s="4" t="n">
        <v>0</v>
      </c>
      <c r="K38" s="4"/>
    </row>
    <row r="39" customFormat="false" ht="15" hidden="false" customHeight="true" outlineLevel="0" collapsed="false">
      <c r="A39" s="4" t="s">
        <v>164</v>
      </c>
      <c r="B39" s="4" t="s">
        <v>129</v>
      </c>
      <c r="C39" s="4" t="n">
        <v>1</v>
      </c>
      <c r="D39" s="5" t="n">
        <v>713</v>
      </c>
      <c r="E39" s="4" t="n">
        <v>3</v>
      </c>
      <c r="F39" s="4" t="n">
        <v>3.4</v>
      </c>
      <c r="G39" s="23" t="n">
        <v>0.133</v>
      </c>
      <c r="H39" s="5" t="n">
        <v>11406</v>
      </c>
      <c r="I39" s="5" t="n">
        <v>12916</v>
      </c>
      <c r="J39" s="4" t="n">
        <v>1</v>
      </c>
      <c r="K39" s="4"/>
    </row>
    <row r="40" customFormat="false" ht="15" hidden="false" customHeight="true" outlineLevel="0" collapsed="false">
      <c r="A40" s="4" t="s">
        <v>165</v>
      </c>
      <c r="B40" s="4" t="s">
        <v>131</v>
      </c>
      <c r="C40" s="4" t="n">
        <v>0</v>
      </c>
      <c r="D40" s="5" t="n">
        <v>458</v>
      </c>
      <c r="E40" s="4" t="n">
        <v>2.6</v>
      </c>
      <c r="F40" s="4" t="n">
        <v>3.4</v>
      </c>
      <c r="G40" s="23" t="n">
        <v>0.308</v>
      </c>
      <c r="H40" s="5" t="n">
        <v>5520</v>
      </c>
      <c r="I40" s="5" t="n">
        <v>6304</v>
      </c>
      <c r="J40" s="4" t="n">
        <v>1</v>
      </c>
      <c r="K40" s="4" t="s">
        <v>166</v>
      </c>
    </row>
    <row r="41" customFormat="false" ht="15" hidden="false" customHeight="true" outlineLevel="0" collapsed="false">
      <c r="A41" s="4" t="s">
        <v>167</v>
      </c>
      <c r="B41" s="4" t="s">
        <v>133</v>
      </c>
      <c r="C41" s="4" t="n">
        <v>1</v>
      </c>
      <c r="D41" s="5" t="n">
        <v>890</v>
      </c>
      <c r="E41" s="4" t="n">
        <v>2.2</v>
      </c>
      <c r="F41" s="4" t="n">
        <v>2.5</v>
      </c>
      <c r="G41" s="23" t="n">
        <v>0.136</v>
      </c>
      <c r="H41" s="5" t="n">
        <v>10997</v>
      </c>
      <c r="I41" s="5" t="n">
        <v>13033</v>
      </c>
      <c r="J41" s="4" t="n">
        <v>1</v>
      </c>
      <c r="K41" s="4"/>
    </row>
    <row r="42" customFormat="false" ht="15" hidden="false" customHeight="true" outlineLevel="0" collapsed="false">
      <c r="A42" s="4" t="s">
        <v>168</v>
      </c>
      <c r="B42" s="4" t="s">
        <v>135</v>
      </c>
      <c r="C42" s="4" t="n">
        <v>0</v>
      </c>
      <c r="D42" s="5" t="n">
        <v>605</v>
      </c>
      <c r="E42" s="4" t="n">
        <v>1.9</v>
      </c>
      <c r="F42" s="4" t="n">
        <v>2.4</v>
      </c>
      <c r="G42" s="23" t="n">
        <v>0.263</v>
      </c>
      <c r="H42" s="5" t="n">
        <v>10581</v>
      </c>
      <c r="I42" s="5" t="n">
        <v>13382</v>
      </c>
      <c r="J42" s="4" t="n">
        <v>1</v>
      </c>
      <c r="K42" s="4"/>
    </row>
    <row r="43" customFormat="false" ht="15" hidden="false" customHeight="true" outlineLevel="0" collapsed="false">
      <c r="A43" s="4" t="s">
        <v>169</v>
      </c>
      <c r="B43" s="4" t="s">
        <v>137</v>
      </c>
      <c r="C43" s="4" t="n">
        <v>1</v>
      </c>
      <c r="D43" s="5" t="n">
        <v>892</v>
      </c>
      <c r="E43" s="4" t="n">
        <v>1.8</v>
      </c>
      <c r="F43" s="4" t="n">
        <v>1.8</v>
      </c>
      <c r="G43" s="23" t="n">
        <v>0</v>
      </c>
      <c r="H43" s="5" t="n">
        <v>13632</v>
      </c>
      <c r="I43" s="5" t="n">
        <v>13468</v>
      </c>
      <c r="J43" s="4" t="n">
        <v>0</v>
      </c>
      <c r="K43" s="4"/>
    </row>
    <row r="44" customFormat="false" ht="15" hidden="false" customHeight="true" outlineLevel="0" collapsed="false">
      <c r="A44" s="4" t="s">
        <v>170</v>
      </c>
      <c r="B44" s="4" t="s">
        <v>139</v>
      </c>
      <c r="C44" s="4" t="n">
        <v>0</v>
      </c>
      <c r="D44" s="5" t="n">
        <v>540</v>
      </c>
      <c r="E44" s="4" t="n">
        <v>2.5</v>
      </c>
      <c r="F44" s="4" t="n">
        <v>2.5</v>
      </c>
      <c r="G44" s="23" t="n">
        <v>0</v>
      </c>
      <c r="H44" s="5" t="n">
        <v>17892</v>
      </c>
      <c r="I44" s="5" t="n">
        <v>17747</v>
      </c>
      <c r="J44" s="4" t="n">
        <v>0</v>
      </c>
      <c r="K44" s="4"/>
    </row>
    <row r="46" customFormat="false" ht="15" hidden="false" customHeight="true" outlineLevel="0" collapsed="false">
      <c r="A46" s="24" t="s">
        <v>171</v>
      </c>
    </row>
    <row r="47" customFormat="false" ht="15" hidden="false" customHeight="true" outlineLevel="0" collapsed="false">
      <c r="A47" s="4" t="s">
        <v>172</v>
      </c>
      <c r="B47" s="19"/>
      <c r="C47" s="19"/>
      <c r="D47" s="25" t="n">
        <f aca="false">SUMIF(C5:C44,1,D5:D44)</f>
        <v>14841</v>
      </c>
    </row>
    <row r="48" customFormat="false" ht="15" hidden="false" customHeight="true" outlineLevel="0" collapsed="false">
      <c r="A48" s="4" t="s">
        <v>173</v>
      </c>
      <c r="B48" s="19"/>
      <c r="C48" s="19"/>
      <c r="D48" s="25" t="n">
        <f aca="false">SUMPRODUCT((C5:C44=1)*(J5:J44=0)*D5:D44)</f>
        <v>4111</v>
      </c>
    </row>
    <row r="49" customFormat="false" ht="15" hidden="false" customHeight="true" outlineLevel="0" collapsed="false">
      <c r="A49" s="26" t="s">
        <v>174</v>
      </c>
      <c r="B49" s="19"/>
      <c r="C49" s="19"/>
      <c r="D49" s="23" t="n">
        <f aca="false">D48/D47</f>
        <v>0.277002897378883</v>
      </c>
    </row>
    <row r="50" customFormat="false" ht="15" hidden="false" customHeight="true" outlineLevel="0" collapsed="false">
      <c r="A50" s="26" t="s">
        <v>175</v>
      </c>
      <c r="B50" s="19"/>
      <c r="C50" s="19"/>
      <c r="D50" s="23" t="n">
        <f aca="false">1-D49</f>
        <v>0.722997102621117</v>
      </c>
    </row>
    <row r="52" customFormat="false" ht="15" hidden="false" customHeight="true" outlineLevel="0" collapsed="false">
      <c r="A52" s="2" t="s">
        <v>176</v>
      </c>
      <c r="B52" s="2"/>
      <c r="C52" s="2"/>
      <c r="D52" s="2"/>
      <c r="E52" s="2"/>
      <c r="F52" s="2"/>
      <c r="G52" s="2"/>
      <c r="H52" s="2"/>
      <c r="I52" s="2"/>
      <c r="J52" s="2"/>
      <c r="K52" s="2"/>
    </row>
  </sheetData>
  <mergeCells count="3">
    <mergeCell ref="A1:K1"/>
    <mergeCell ref="A2:K2"/>
    <mergeCell ref="A52:K5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22"/>
    <col collapsed="false" customWidth="true" hidden="false" outlineLevel="0" max="3" min="3" style="1" width="14"/>
    <col collapsed="false" customWidth="true" hidden="false" outlineLevel="0" max="4" min="4" style="1" width="18"/>
    <col collapsed="false" customWidth="true" hidden="false" outlineLevel="0" max="5" min="5" style="1" width="16"/>
    <col collapsed="false" customWidth="true" hidden="false" outlineLevel="0" max="7" min="6" style="1" width="18"/>
    <col collapsed="false" customWidth="true" hidden="false" outlineLevel="0" max="8" min="8" style="1" width="20"/>
    <col collapsed="false" customWidth="true" hidden="false" outlineLevel="0" max="9" min="9" style="1" width="14"/>
    <col collapsed="false" customWidth="true" hidden="false" outlineLevel="0" max="10" min="10" style="1" width="30"/>
  </cols>
  <sheetData>
    <row r="1" customFormat="false" ht="15" hidden="false" customHeight="true" outlineLevel="0" collapsed="false">
      <c r="A1" s="2" t="s">
        <v>177</v>
      </c>
      <c r="B1" s="2"/>
      <c r="C1" s="2"/>
      <c r="D1" s="2"/>
      <c r="E1" s="2"/>
      <c r="F1" s="2"/>
      <c r="G1" s="2"/>
      <c r="H1" s="2"/>
      <c r="I1" s="2"/>
      <c r="J1" s="2"/>
    </row>
    <row r="2" customFormat="false" ht="15" hidden="false" customHeight="true" outlineLevel="0" collapsed="false">
      <c r="A2" s="14" t="s">
        <v>178</v>
      </c>
      <c r="B2" s="14"/>
      <c r="C2" s="14"/>
      <c r="D2" s="14"/>
      <c r="E2" s="14"/>
      <c r="F2" s="14"/>
      <c r="G2" s="14"/>
      <c r="H2" s="14"/>
      <c r="I2" s="14"/>
      <c r="J2" s="14"/>
    </row>
    <row r="4" customFormat="false" ht="15" hidden="false" customHeight="true" outlineLevel="0" collapsed="false">
      <c r="A4" s="3" t="s">
        <v>179</v>
      </c>
      <c r="B4" s="3" t="s">
        <v>180</v>
      </c>
      <c r="C4" s="3" t="s">
        <v>181</v>
      </c>
      <c r="D4" s="3" t="s">
        <v>182</v>
      </c>
      <c r="E4" s="3" t="s">
        <v>183</v>
      </c>
      <c r="F4" s="3" t="s">
        <v>184</v>
      </c>
      <c r="G4" s="3" t="s">
        <v>185</v>
      </c>
      <c r="H4" s="3" t="s">
        <v>186</v>
      </c>
      <c r="I4" s="3" t="s">
        <v>187</v>
      </c>
      <c r="J4" s="3" t="s">
        <v>11</v>
      </c>
    </row>
    <row r="5" customFormat="false" ht="15" hidden="false" customHeight="true" outlineLevel="0" collapsed="false">
      <c r="A5" s="4" t="n">
        <v>1</v>
      </c>
      <c r="B5" s="4" t="s">
        <v>188</v>
      </c>
      <c r="C5" s="5" t="n">
        <v>421900</v>
      </c>
      <c r="D5" s="4" t="s">
        <v>189</v>
      </c>
      <c r="E5" s="5" t="n">
        <v>47042990</v>
      </c>
      <c r="F5" s="4" t="n">
        <v>64.1</v>
      </c>
      <c r="G5" s="27" t="n">
        <v>1440046.1</v>
      </c>
      <c r="H5" s="4" t="n">
        <v>71.3</v>
      </c>
      <c r="I5" s="4" t="n">
        <v>8.1</v>
      </c>
      <c r="J5" s="4" t="s">
        <v>190</v>
      </c>
    </row>
    <row r="6" customFormat="false" ht="15" hidden="false" customHeight="true" outlineLevel="0" collapsed="false">
      <c r="A6" s="4" t="n">
        <v>2</v>
      </c>
      <c r="B6" s="4" t="s">
        <v>191</v>
      </c>
      <c r="C6" s="5" t="n">
        <v>421900</v>
      </c>
      <c r="D6" s="4" t="s">
        <v>189</v>
      </c>
      <c r="E6" s="5" t="n">
        <v>10494770</v>
      </c>
      <c r="F6" s="4" t="n">
        <v>14.3</v>
      </c>
      <c r="G6" s="27" t="n">
        <v>244383.7</v>
      </c>
      <c r="H6" s="4" t="n">
        <v>12.1</v>
      </c>
      <c r="I6" s="4" t="n">
        <v>3.4</v>
      </c>
      <c r="J6" s="4" t="s">
        <v>73</v>
      </c>
    </row>
    <row r="7" customFormat="false" ht="15" hidden="false" customHeight="true" outlineLevel="0" collapsed="false">
      <c r="A7" s="4" t="n">
        <v>3</v>
      </c>
      <c r="B7" s="4" t="s">
        <v>192</v>
      </c>
      <c r="C7" s="5" t="n">
        <v>421900</v>
      </c>
      <c r="D7" s="4" t="s">
        <v>189</v>
      </c>
      <c r="E7" s="5" t="n">
        <v>5724420</v>
      </c>
      <c r="F7" s="4" t="n">
        <v>7.8</v>
      </c>
      <c r="G7" s="27" t="n">
        <v>135319.9</v>
      </c>
      <c r="H7" s="4" t="n">
        <v>6.7</v>
      </c>
      <c r="I7" s="4" t="n">
        <v>2.7</v>
      </c>
      <c r="J7" s="4" t="s">
        <v>73</v>
      </c>
    </row>
    <row r="8" customFormat="false" ht="15" hidden="false" customHeight="true" outlineLevel="0" collapsed="false">
      <c r="A8" s="4" t="n">
        <v>4</v>
      </c>
      <c r="B8" s="4" t="s">
        <v>193</v>
      </c>
      <c r="C8" s="5" t="n">
        <v>421900</v>
      </c>
      <c r="D8" s="4" t="s">
        <v>189</v>
      </c>
      <c r="E8" s="5" t="n">
        <v>3375940</v>
      </c>
      <c r="F8" s="4" t="n">
        <v>4.6</v>
      </c>
      <c r="G8" s="27" t="n">
        <v>76748.6</v>
      </c>
      <c r="H8" s="4" t="n">
        <v>3.8</v>
      </c>
      <c r="I8" s="4" t="n">
        <v>2.1</v>
      </c>
      <c r="J8" s="4"/>
    </row>
    <row r="9" customFormat="false" ht="15" hidden="false" customHeight="true" outlineLevel="0" collapsed="false">
      <c r="A9" s="4" t="n">
        <v>5</v>
      </c>
      <c r="B9" s="4" t="s">
        <v>194</v>
      </c>
      <c r="C9" s="5" t="n">
        <v>421900</v>
      </c>
      <c r="D9" s="4" t="s">
        <v>189</v>
      </c>
      <c r="E9" s="5" t="n">
        <v>2348480</v>
      </c>
      <c r="F9" s="4" t="n">
        <v>3.2</v>
      </c>
      <c r="G9" s="27" t="n">
        <v>48472.8</v>
      </c>
      <c r="H9" s="4" t="n">
        <v>2.4</v>
      </c>
      <c r="I9" s="4" t="n">
        <v>1.8</v>
      </c>
      <c r="J9" s="4"/>
    </row>
    <row r="10" customFormat="false" ht="15" hidden="false" customHeight="true" outlineLevel="0" collapsed="false">
      <c r="A10" s="4" t="n">
        <v>6</v>
      </c>
      <c r="B10" s="4" t="s">
        <v>195</v>
      </c>
      <c r="C10" s="5" t="n">
        <v>421900</v>
      </c>
      <c r="D10" s="4" t="s">
        <v>189</v>
      </c>
      <c r="E10" s="5" t="n">
        <v>1761360</v>
      </c>
      <c r="F10" s="4" t="n">
        <v>2.4</v>
      </c>
      <c r="G10" s="27" t="n">
        <v>32315.2</v>
      </c>
      <c r="H10" s="4" t="n">
        <v>1.6</v>
      </c>
      <c r="I10" s="4" t="n">
        <v>1.6</v>
      </c>
      <c r="J10" s="4"/>
    </row>
    <row r="11" customFormat="false" ht="15" hidden="false" customHeight="true" outlineLevel="0" collapsed="false">
      <c r="A11" s="4" t="n">
        <v>7</v>
      </c>
      <c r="B11" s="4" t="s">
        <v>196</v>
      </c>
      <c r="C11" s="5" t="n">
        <v>421900</v>
      </c>
      <c r="D11" s="4" t="s">
        <v>189</v>
      </c>
      <c r="E11" s="5" t="n">
        <v>1174240</v>
      </c>
      <c r="F11" s="4" t="n">
        <v>1.6</v>
      </c>
      <c r="G11" s="27" t="n">
        <v>18177.3</v>
      </c>
      <c r="H11" s="4" t="n">
        <v>0.9</v>
      </c>
      <c r="I11" s="4" t="n">
        <v>1.3</v>
      </c>
      <c r="J11" s="4"/>
    </row>
    <row r="12" customFormat="false" ht="15" hidden="false" customHeight="true" outlineLevel="0" collapsed="false">
      <c r="A12" s="4" t="n">
        <v>8</v>
      </c>
      <c r="B12" s="4" t="s">
        <v>197</v>
      </c>
      <c r="C12" s="5" t="n">
        <v>421900</v>
      </c>
      <c r="D12" s="4" t="s">
        <v>189</v>
      </c>
      <c r="E12" s="5" t="n">
        <v>660510</v>
      </c>
      <c r="F12" s="4" t="n">
        <v>0.9</v>
      </c>
      <c r="G12" s="27" t="n">
        <v>10098.5</v>
      </c>
      <c r="H12" s="4" t="n">
        <v>0.5</v>
      </c>
      <c r="I12" s="4" t="n">
        <v>1.1</v>
      </c>
      <c r="J12" s="4"/>
    </row>
    <row r="13" customFormat="false" ht="15" hidden="false" customHeight="true" outlineLevel="0" collapsed="false">
      <c r="A13" s="4" t="n">
        <v>9</v>
      </c>
      <c r="B13" s="4" t="s">
        <v>198</v>
      </c>
      <c r="C13" s="5" t="n">
        <v>421900</v>
      </c>
      <c r="D13" s="4" t="s">
        <v>189</v>
      </c>
      <c r="E13" s="5" t="n">
        <v>440340</v>
      </c>
      <c r="F13" s="4" t="n">
        <v>0.6</v>
      </c>
      <c r="G13" s="27" t="n">
        <v>8078.8</v>
      </c>
      <c r="H13" s="4" t="n">
        <v>0.4</v>
      </c>
      <c r="I13" s="4" t="n">
        <v>0.9</v>
      </c>
      <c r="J13" s="4"/>
    </row>
    <row r="14" customFormat="false" ht="15" hidden="false" customHeight="true" outlineLevel="0" collapsed="false">
      <c r="A14" s="4" t="n">
        <v>10</v>
      </c>
      <c r="B14" s="4" t="s">
        <v>199</v>
      </c>
      <c r="C14" s="5" t="n">
        <v>421900</v>
      </c>
      <c r="D14" s="4" t="s">
        <v>189</v>
      </c>
      <c r="E14" s="5" t="n">
        <v>366950</v>
      </c>
      <c r="F14" s="4" t="n">
        <v>0.5</v>
      </c>
      <c r="G14" s="27" t="n">
        <v>6059.1</v>
      </c>
      <c r="H14" s="4" t="n">
        <v>0.3</v>
      </c>
      <c r="I14" s="4" t="n">
        <v>0.7</v>
      </c>
      <c r="J14" s="4"/>
    </row>
    <row r="15" customFormat="false" ht="15" hidden="false" customHeight="true" outlineLevel="0" collapsed="false">
      <c r="A15" s="28" t="s">
        <v>200</v>
      </c>
      <c r="B15" s="4" t="s">
        <v>201</v>
      </c>
      <c r="C15" s="25" t="n">
        <f aca="false">SUM(C5:C14)</f>
        <v>4219000</v>
      </c>
      <c r="D15" s="19"/>
      <c r="E15" s="19"/>
      <c r="F15" s="20" t="n">
        <f aca="false">SUM(F5:F14)</f>
        <v>100</v>
      </c>
      <c r="G15" s="29" t="n">
        <f aca="false">SUM(G5:G14)</f>
        <v>2019700</v>
      </c>
      <c r="H15" s="20" t="n">
        <f aca="false">SUM(H5:H14)</f>
        <v>100</v>
      </c>
      <c r="I15" s="19"/>
      <c r="J15" s="19"/>
    </row>
    <row r="17" customFormat="false" ht="15" hidden="false" customHeight="true" outlineLevel="0" collapsed="false">
      <c r="A17" s="2" t="s">
        <v>202</v>
      </c>
      <c r="B17" s="2"/>
      <c r="C17" s="2"/>
      <c r="D17" s="2"/>
      <c r="E17" s="2"/>
      <c r="F17" s="2"/>
      <c r="G17" s="2"/>
      <c r="H17" s="2"/>
      <c r="I17" s="2"/>
      <c r="J17" s="2"/>
    </row>
  </sheetData>
  <mergeCells count="3">
    <mergeCell ref="A1:J1"/>
    <mergeCell ref="A2:J2"/>
    <mergeCell ref="A17:J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42"/>
    <col collapsed="false" customWidth="true" hidden="false" outlineLevel="0" max="3" min="3" style="1" width="18"/>
    <col collapsed="false" customWidth="true" hidden="false" outlineLevel="0" max="4" min="4" style="1" width="70"/>
  </cols>
  <sheetData>
    <row r="1" customFormat="false" ht="15" hidden="false" customHeight="true" outlineLevel="0" collapsed="false">
      <c r="A1" s="30" t="s">
        <v>203</v>
      </c>
      <c r="B1" s="30"/>
      <c r="C1" s="30"/>
      <c r="D1" s="30"/>
    </row>
    <row r="3" customFormat="false" ht="15" hidden="false" customHeight="true" outlineLevel="0" collapsed="false">
      <c r="A3" s="31" t="s">
        <v>204</v>
      </c>
      <c r="B3" s="31" t="s">
        <v>205</v>
      </c>
      <c r="C3" s="31" t="s">
        <v>206</v>
      </c>
      <c r="D3" s="31" t="s">
        <v>207</v>
      </c>
    </row>
    <row r="4" customFormat="false" ht="39.75" hidden="false" customHeight="true" outlineLevel="0" collapsed="false">
      <c r="A4" s="32" t="s">
        <v>208</v>
      </c>
      <c r="B4" s="32" t="s">
        <v>209</v>
      </c>
      <c r="C4" s="32" t="s">
        <v>210</v>
      </c>
      <c r="D4" s="33" t="s">
        <v>211</v>
      </c>
    </row>
    <row r="5" customFormat="false" ht="39.75" hidden="false" customHeight="true" outlineLevel="0" collapsed="false">
      <c r="A5" s="32" t="s">
        <v>212</v>
      </c>
      <c r="B5" s="32" t="s">
        <v>213</v>
      </c>
      <c r="C5" s="32" t="s">
        <v>214</v>
      </c>
      <c r="D5" s="33" t="s">
        <v>215</v>
      </c>
    </row>
    <row r="6" customFormat="false" ht="39.75" hidden="false" customHeight="true" outlineLevel="0" collapsed="false">
      <c r="A6" s="32" t="s">
        <v>216</v>
      </c>
      <c r="B6" s="32" t="s">
        <v>217</v>
      </c>
      <c r="C6" s="32" t="s">
        <v>218</v>
      </c>
      <c r="D6" s="33" t="s">
        <v>219</v>
      </c>
    </row>
    <row r="7" customFormat="false" ht="39.75" hidden="false" customHeight="true" outlineLevel="0" collapsed="false">
      <c r="A7" s="32" t="s">
        <v>220</v>
      </c>
      <c r="B7" s="32" t="s">
        <v>221</v>
      </c>
      <c r="C7" s="32" t="s">
        <v>222</v>
      </c>
      <c r="D7" s="33" t="s">
        <v>223</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