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Assumptions" sheetId="1" state="visible" r:id="rId3"/>
    <sheet name="Build_Case" sheetId="2" state="visible" r:id="rId4"/>
    <sheet name="Partner_Case" sheetId="3" state="visible" r:id="rId5"/>
    <sheet name="Hybrid_Case" sheetId="4" state="visible" r:id="rId6"/>
    <sheet name="NPV_Comparison" sheetId="5" state="visible" r:id="rId7"/>
    <sheet name="Sensitivity" sheetId="6" state="visible" r:id="rId8"/>
    <sheet name="Decision_Framework"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<sst xmlns="http://schemas.openxmlformats.org/spreadsheetml/2006/main" count="284" uniqueCount="224">
  <si>
    <t xml:space="preserve">Model Assumptions and Benefit Basis</t>
  </si>
  <si>
    <t xml:space="preserve">Aurelian &amp; Co  |  PetroNusa Strategic Transformation  |  P13 Wallet Sourcing  |  SRP bn unless stated</t>
  </si>
  <si>
    <t xml:space="preserve">Parameter</t>
  </si>
  <si>
    <t xml:space="preserve">Value</t>
  </si>
  <si>
    <t xml:space="preserve">Unit</t>
  </si>
  <si>
    <t xml:space="preserve">Source</t>
  </si>
  <si>
    <t xml:space="preserve">Discount rate (SRP EM fintech WACC)</t>
  </si>
  <si>
    <t xml:space="preserve">%</t>
  </si>
  <si>
    <t xml:space="preserve">comparable_wallet_tco_benchmarks.docx s.2 (comparables run at 10-14%)</t>
  </si>
  <si>
    <t xml:space="preserve">FY2023 network transactions</t>
  </si>
  <si>
    <t xml:space="preserve">M txn</t>
  </si>
  <si>
    <t xml:space="preserve">p10_readiness_gap_summary_handoff.xlsx CostSummary</t>
  </si>
  <si>
    <t xml:space="preserve">Network txn growth YoY</t>
  </si>
  <si>
    <t xml:space="preserve">wallet_adoption_volume_forecast_scenarios.xlsx VolumeBase</t>
  </si>
  <si>
    <t xml:space="preserve">Avg transaction value (fuel)</t>
  </si>
  <si>
    <t xml:space="preserve">SRP/txn</t>
  </si>
  <si>
    <t xml:space="preserve">P10 AcceptanceCost</t>
  </si>
  <si>
    <t xml:space="preserve">Build time-to-value delay vs partner</t>
  </si>
  <si>
    <t xml:space="preserve">yr</t>
  </si>
  <si>
    <t xml:space="preserve">benchmarks s.4: 18-24mo to MVP vs ~6mo white-label</t>
  </si>
  <si>
    <t xml:space="preserve">Base Y1 wallet penetration</t>
  </si>
  <si>
    <t xml:space="preserve">% network txn</t>
  </si>
  <si>
    <t xml:space="preserve">AdoptionRamp base</t>
  </si>
  <si>
    <t xml:space="preserve">Partner per-txn fee (FinTechPartnerA)</t>
  </si>
  <si>
    <t xml:space="preserve">wallet_partner_fee_schedule.xlsx Raw r2, term sheet v2</t>
  </si>
  <si>
    <t xml:space="preserve">Partner rev-share on txn value</t>
  </si>
  <si>
    <t xml:space="preserve">term sheet v2</t>
  </si>
  <si>
    <t xml:space="preserve">Partner setup cost (Y1)</t>
  </si>
  <si>
    <t xml:space="preserve">SRP bn</t>
  </si>
  <si>
    <t xml:space="preserve">Partner exit cost (Y5)</t>
  </si>
  <si>
    <t xml:space="preserve">Partner integration opex</t>
  </si>
  <si>
    <t xml:space="preserve">SRP bn/yr</t>
  </si>
  <si>
    <t xml:space="preserve">internal partner management</t>
  </si>
  <si>
    <t xml:space="preserve">Hybrid migration provision (Y3 cut-over)</t>
  </si>
  <si>
    <t xml:space="preserve">FuelBandaru comparable, benchmarks appendix (approx 18 bn equiv)</t>
  </si>
  <si>
    <t xml:space="preserve">Benefit basis — incremental fuel margin per wallet transaction</t>
  </si>
  <si>
    <t xml:space="preserve">Adopter cohort (prior primary method)</t>
  </si>
  <si>
    <t xml:space="preserve">Incremental margin (SRP/txn)</t>
  </si>
  <si>
    <t xml:space="preserve">Adopter share — mgmt projection</t>
  </si>
  <si>
    <t xml:space="preserve">Adopter share — Meridian benchmark</t>
  </si>
  <si>
    <t xml:space="preserve">Txns per customer per yr</t>
  </si>
  <si>
    <t xml:space="preserve">Cash — new to digital</t>
  </si>
  <si>
    <t xml:space="preserve">SariQR / e-wallet — already digital</t>
  </si>
  <si>
    <t xml:space="preserve">Card (debit/credit) — already digital</t>
  </si>
  <si>
    <t xml:space="preserve">Total adopters</t>
  </si>
  <si>
    <t xml:space="preserve">Margins: RevenueDrivers r5 (cash-converted, benchmark median, range 730-1,180) and r12 (existing-digital). Frequencies: p10 handoff CustomerPanel; card cohort weighted by FY23 debit/credit volume share.</t>
  </si>
  <si>
    <t xml:space="preserve">Adopter shares are shares of CUSTOMERS. Benefit accrues per TRANSACTION, so the mix is re-weighted by cohort transaction frequency.</t>
  </si>
  <si>
    <t xml:space="preserve">Weighting step</t>
  </si>
  <si>
    <t xml:space="preserve">Management mix</t>
  </si>
  <si>
    <t xml:space="preserve">Meridian mix</t>
  </si>
  <si>
    <t xml:space="preserve">Note</t>
  </si>
  <si>
    <t xml:space="preserve">Cash — transaction weight (adopter share x freq)</t>
  </si>
  <si>
    <t xml:space="preserve">SariQR — transaction weight</t>
  </si>
  <si>
    <t xml:space="preserve">Card — transaction weight</t>
  </si>
  <si>
    <t xml:space="preserve">Total weight</t>
  </si>
  <si>
    <t xml:space="preserve">Cash share of wallet TRANSACTIONS</t>
  </si>
  <si>
    <t xml:space="preserve">vs 30.0% / 45.0% of adopters</t>
  </si>
  <si>
    <t xml:space="preserve">Blended incremental margin (SRP/txn)</t>
  </si>
  <si>
    <t xml:space="preserve">transaction-weighted — model basis</t>
  </si>
  <si>
    <t xml:space="preserve">Memo — adopter-weighted blend (NOT used)</t>
  </si>
  <si>
    <t xml:space="preserve">ignores frequency; overstates cash weight</t>
  </si>
  <si>
    <t xml:space="preserve">MODEL BASE MARGIN (SRP/txn)</t>
  </si>
  <si>
    <t xml:space="preserve">Management mix, transaction-weighted. Meridian mix in C33 is the upside case.</t>
  </si>
  <si>
    <t xml:space="preserve">Comparator bases carried for reconciliation only: 950 (RevenueDrivers working method, cash-cohort margin applied to all volume); 650 (R. Kusuma placeholder haircut).</t>
  </si>
  <si>
    <t xml:space="preserve">Adoption penetration (% of network transactions)</t>
  </si>
  <si>
    <t xml:space="preserve">Scenario</t>
  </si>
  <si>
    <t xml:space="preserve">Y1</t>
  </si>
  <si>
    <t xml:space="preserve">Y2</t>
  </si>
  <si>
    <t xml:space="preserve">Y3</t>
  </si>
  <si>
    <t xml:space="preserve">Y4</t>
  </si>
  <si>
    <t xml:space="preserve">Y5</t>
  </si>
  <si>
    <t xml:space="preserve">Low</t>
  </si>
  <si>
    <t xml:space="preserve">Base (management central)</t>
  </si>
  <si>
    <t xml:space="preserve">High</t>
  </si>
  <si>
    <t xml:space="preserve">Wallet transactions by scenario (M/yr) = network volume x penetration</t>
  </si>
  <si>
    <t xml:space="preserve">Base</t>
  </si>
  <si>
    <t xml:space="preserve">High scenario Y4-Y5 unvalidated (AdoptionRamp note); not used as a base.</t>
  </si>
  <si>
    <t xml:space="preserve">Build Case — in-house platform, 5-year cost phasing (SRP bn)</t>
  </si>
  <si>
    <t xml:space="preserve">Cost item</t>
  </si>
  <si>
    <t xml:space="preserve">5yr total</t>
  </si>
  <si>
    <t xml:space="preserve">Capex — platform, terminals, infra</t>
  </si>
  <si>
    <t xml:space="preserve">Gateway licence (annual)</t>
  </si>
  <si>
    <t xml:space="preserve">PCI-DSS compliance</t>
  </si>
  <si>
    <t xml:space="preserve">Fraud + chargeback operations</t>
  </si>
  <si>
    <t xml:space="preserve">Software maintenance</t>
  </si>
  <si>
    <t xml:space="preserve">Talent — fintech engineering (ramping to 18 FTE at peak)</t>
  </si>
  <si>
    <t xml:space="preserve">Annual total</t>
  </si>
  <si>
    <t xml:space="preserve">Build 5yr TCO (undiscounted)</t>
  </si>
  <si>
    <t xml:space="preserve">Build 5yr TCO (PV @ Assumptions!B5)</t>
  </si>
  <si>
    <t xml:space="preserve">Phasing is v3 (build_cost_phasing_and_assumptions.xlsx rows 10-15). The v1 block in that file (5yr ~270) is marked SUPERSEDED and is not used.</t>
  </si>
  <si>
    <t xml:space="preserve">Delivery: 18-24 months to MVP (benchmarks s.4), against P10 Tier-1 gaps — no in-house payments engineering, fragmented PCI-DSS scope. The v1-to-v3 cost revision is itself an estimate-stability signal.</t>
  </si>
  <si>
    <t xml:space="preserve">Partner Case — FinTechPartnerA white-label, cost scales with volume (SRP bn)</t>
  </si>
  <si>
    <t xml:space="preserve">Annual cost = per-txn fee x wallet txns + rev-share x (wallet txns x avg txn value) + setup (Y1) + exit (Y5) + integration opex</t>
  </si>
  <si>
    <t xml:space="preserve">Adoption scenario</t>
  </si>
  <si>
    <t xml:space="preserve">5yr undisc.</t>
  </si>
  <si>
    <t xml:space="preserve">5yr PV</t>
  </si>
  <si>
    <t xml:space="preserve">Compared at BASE adoption. The Low column is not a like-for-like comparator to the build case, which is built on base adoption.</t>
  </si>
  <si>
    <t xml:space="preserve">Contract exposure (Notes tab, wallet_partner_fee_schedule.xlsx): PartnerA v2 carries a Year-1 minimum of 100M txns, billed whether delivered or not.</t>
  </si>
  <si>
    <t xml:space="preserve">Deliverable Y1 wallet volume: base 75.2M, low 38.9M, high 118.0M. Year-1 minimum-fee exposure at base:</t>
  </si>
  <si>
    <t xml:space="preserve">Y1 shortfall billed at the per-txn fee (SRP bn, base adoption)</t>
  </si>
  <si>
    <t xml:space="preserve">low-adoption case</t>
  </si>
  <si>
    <t xml:space="preserve">Not added to the cost rows above: the exposure is contingent on the floor surviving negotiation. It is a decision input, not a modelled cost.</t>
  </si>
  <si>
    <t xml:space="preserve">Other open terms: data portability 60d + manual extraction against a 30d structured-export requirement (Article 7.3); rev-share on gross rather than net of refunds (refund rate 0.8-1.2%).</t>
  </si>
  <si>
    <t xml:space="preserve">Hybrid Case — white-label Years 1-2, migrate to owned platform in Year 3 (SRP bn)</t>
  </si>
  <si>
    <t xml:space="preserve">Construction: partner rails carry live volume in Y1-Y2; the terminal estate upgrade runs in parallel from Y1 because it is required under any owned path and the partner does not supply it; the platform build is a single Y3 programme; the partner exit cost and the migration provision fall at cut-over; owned run costs start Y3.</t>
  </si>
  <si>
    <t xml:space="preserve">Component</t>
  </si>
  <si>
    <t xml:space="preserve">Partner rails at base volume (incl. Y1 setup)</t>
  </si>
  <si>
    <t xml:space="preserve">Partner_Case row 7 — rails carry live volume until cut-over</t>
  </si>
  <si>
    <t xml:space="preserve">Terminal estate upgrade — COCO + DODO NFC retrofit</t>
  </si>
  <si>
    <t xml:space="preserve">build_cost_phasing CapexDetail, COCO r7 + DODO r8, all years</t>
  </si>
  <si>
    <t xml:space="preserve">Platform build programme — Y2-Y3 (24 months to cut-over)</t>
  </si>
  <si>
    <t xml:space="preserve">CapexDetail core platform + PCI CDE + DR/cloud + integration, 51.7 phased over two years</t>
  </si>
  <si>
    <t xml:space="preserve">Partner exit cost and migration provision (Y3 cut-over)</t>
  </si>
  <si>
    <t xml:space="preserve">term sheet v2 exit 14.2 + FuelBandaru-comparable migration 18.0</t>
  </si>
  <si>
    <t xml:space="preserve">Owned platform run cost (gateway, PCI, fraud, maintenance, talent)</t>
  </si>
  <si>
    <t xml:space="preserve">Build_Case rows 6-10, from Y4 — the first full year on owned rails</t>
  </si>
  <si>
    <t xml:space="preserve">Hybrid 5yr TCO (undiscounted)</t>
  </si>
  <si>
    <t xml:space="preserve">Hybrid 5yr TCO (PV)</t>
  </si>
  <si>
    <t xml:space="preserve">Phasing follows the same 18-24 month build assumption used in the build case (Assumptions B9). The owned platform cannot run before the build has run, so the programme sits in Y2-Y3, partner rails carry live volume through Y3 to the cut-over, and owned run costs start in Y4, the first full year on owned rails. Placing the whole programme in Y3 with no Y3 partner fees would understate the hybrid by roughly 45 of PV; it is the assumption this comparison is most sensitive to.</t>
  </si>
  <si>
    <t xml:space="preserve">The result is that hybrid pays twice for three years. It is the most expensive path on raw cost and it buys time to market and a transfer of delivery risk, not cost.</t>
  </si>
  <si>
    <t xml:space="preserve">The Y1-Y3 rails carry the same Year-1 100M minimum-volume exposure as the pure partner case (Partner_Case rows 11-14).</t>
  </si>
  <si>
    <t xml:space="preserve">NPV Comparison — base adoption, transaction-weighted benefit basis (SRP bn)</t>
  </si>
  <si>
    <t xml:space="preserve">Benefit = wallet txns x blended incremental margin (Assumptions!B36). Build goes live mid-Y2 (Y2 at 50%, Y1 nil); partner and hybrid go live at month 6 (Y1 at 65%).</t>
  </si>
  <si>
    <t xml:space="preserve">Year</t>
  </si>
  <si>
    <t xml:space="preserve">Build benefit</t>
  </si>
  <si>
    <t xml:space="preserve">Build cost</t>
  </si>
  <si>
    <t xml:space="preserve">Build net</t>
  </si>
  <si>
    <t xml:space="preserve">Partner / hybrid benefit</t>
  </si>
  <si>
    <t xml:space="preserve">Partner cost</t>
  </si>
  <si>
    <t xml:space="preserve">Partner net</t>
  </si>
  <si>
    <t xml:space="preserve">Hybrid cost</t>
  </si>
  <si>
    <t xml:space="preserve">Hybrid net</t>
  </si>
  <si>
    <t xml:space="preserve">Discount factor</t>
  </si>
  <si>
    <t xml:space="preserve">Summary — base adoption</t>
  </si>
  <si>
    <t xml:space="preserve">Metric</t>
  </si>
  <si>
    <t xml:space="preserve">Build</t>
  </si>
  <si>
    <t xml:space="preserve">Partner</t>
  </si>
  <si>
    <t xml:space="preserve">Hybrid</t>
  </si>
  <si>
    <t xml:space="preserve">Best</t>
  </si>
  <si>
    <t xml:space="preserve">5yr TCO undiscounted</t>
  </si>
  <si>
    <t xml:space="preserve">5yr TCO PV</t>
  </si>
  <si>
    <t xml:space="preserve">5yr NPV (benefit less cost)</t>
  </si>
  <si>
    <t xml:space="preserve">Benefit-basis reconciliation — same cost model, four margin bases</t>
  </si>
  <si>
    <t xml:space="preserve">Margin basis</t>
  </si>
  <si>
    <t xml:space="preserve">Build NPV</t>
  </si>
  <si>
    <t xml:space="preserve">Partner NPV</t>
  </si>
  <si>
    <t xml:space="preserve">Hybrid NPV</t>
  </si>
  <si>
    <t xml:space="preserve">Source of the basis</t>
  </si>
  <si>
    <t xml:space="preserve">Working method — cash-cohort margin on all wallet volume</t>
  </si>
  <si>
    <t xml:space="preserve">RevenueDrivers r5 + benefit formula r14</t>
  </si>
  <si>
    <t xml:space="preserve">Placeholder haircut</t>
  </si>
  <si>
    <t xml:space="preserve">R. Kusuma working note, RevenueDrivers r25</t>
  </si>
  <si>
    <t xml:space="preserve">Adopter-weighted blend</t>
  </si>
  <si>
    <t xml:space="preserve">Assumptions!B34 — weights cohorts by customers</t>
  </si>
  <si>
    <t xml:space="preserve">Transaction-weighted blend — MODEL BASIS</t>
  </si>
  <si>
    <t xml:space="preserve">Assumptions!B33 — weights cohorts by transactions</t>
  </si>
  <si>
    <t xml:space="preserve">Upside mix — Meridian benchmark (45% of adopters from cash)</t>
  </si>
  <si>
    <t xml:space="preserve">Build / partner NPV crossover — Y3 wallet penetration at which build overtakes partner</t>
  </si>
  <si>
    <t xml:space="preserve">Crossover Y3 penetration</t>
  </si>
  <si>
    <t xml:space="preserve">Reading against the modelled range (low 9.7% / base 16.8% / high 23.6%)</t>
  </si>
  <si>
    <t xml:space="preserve">Working method (950)</t>
  </si>
  <si>
    <t xml:space="preserve">Above base and inside the high case: on this basis build trails partner across most of the range.</t>
  </si>
  <si>
    <t xml:space="preserve">Transaction-weighted blend (model basis)</t>
  </si>
  <si>
    <t xml:space="preserve">Below base and near the low case: build is ahead of partner across the base and high scenarios, and trails only below ~14% Y3 penetration.</t>
  </si>
  <si>
    <t xml:space="preserve">Crossover solved on uniform scaling of the base adoption ramp, holding cost structures fixed: build NPV less partner NPV is linear in the scaling factor k (partner variable cost and the benefit timing gap both scale, partner setup/exit/integration and build cost do not). k* = 1.296 at 950 and 0.825 at the model basis; Y3 penetration = 16.8% x k*.</t>
  </si>
  <si>
    <t xml:space="preserve">Time-to-value — benefit foregone over the 1.5-year build delay</t>
  </si>
  <si>
    <t xml:space="preserve">Foregone benefit (SRP bn)</t>
  </si>
  <si>
    <t xml:space="preserve">Method</t>
  </si>
  <si>
    <t xml:space="preserve">Network volume x delay (yr) x Y1 base penetration x margin</t>
  </si>
  <si>
    <t xml:space="preserve">Same method, corrected margin</t>
  </si>
  <si>
    <t xml:space="preserve">Sensitivity — what moves the case (SRP bn)</t>
  </si>
  <si>
    <t xml:space="preserve">Panel A — NPV of the recommended path (build), base adoption, transaction-weighted basis</t>
  </si>
  <si>
    <t xml:space="preserve">Driver</t>
  </si>
  <si>
    <t xml:space="preserve">Downside</t>
  </si>
  <si>
    <t xml:space="preserve">Upside</t>
  </si>
  <si>
    <t xml:space="preserve">Swing</t>
  </si>
  <si>
    <t xml:space="preserve">Wallet adoption (uniform +/-20% on the ramp)</t>
  </si>
  <si>
    <t xml:space="preserve">Ramp scenarios are management input; the high case Y4-Y5 is unvalidated (AdoptionRamp note).</t>
  </si>
  <si>
    <t xml:space="preserve">Build cost overrun (+/-20%)</t>
  </si>
  <si>
    <t xml:space="preserve">The IT estimate already moved ~20% from v1 to v3, and one comparable took a 40% Y1 PCI overrun.</t>
  </si>
  <si>
    <t xml:space="preserve">Adopter source mix (cash share of adopters)</t>
  </si>
  <si>
    <t xml:space="preserve">Management 30% vs Meridian 45%. One-sided: the management mix IS the low end, and nothing in the room validates either.</t>
  </si>
  <si>
    <t xml:space="preserve">Discount rate (+/-3pp on 12.5%)</t>
  </si>
  <si>
    <t xml:space="preserve">Our own band; the benchmark comparables were run at 10-14%.</t>
  </si>
  <si>
    <t xml:space="preserve">Ordered by swing. No modelled downside takes the recommended path negative and no upside takes it much above 120 — the case is thin across the whole range. The top three drivers are within 10 of each other, but the adopter mix is the only one with nothing behind it: the other two have scenario ranges the room supports, and the mix has two unreconciled sources.</t>
  </si>
  <si>
    <t xml:space="preserve">Panel B — build less partner NPV differential</t>
  </si>
  <si>
    <t xml:space="preserve">Low delta</t>
  </si>
  <si>
    <t xml:space="preserve">High delta</t>
  </si>
  <si>
    <t xml:space="preserve">Flip direction</t>
  </si>
  <si>
    <t xml:space="preserve">Base differential (build less partner)</t>
  </si>
  <si>
    <t xml:space="preserve">Wallet adoption +/-20%</t>
  </si>
  <si>
    <t xml:space="preserve">Build advantage widens with adoption; partner cost scales, build cost does not.</t>
  </si>
  <si>
    <t xml:space="preserve">Build TCO overrun +/-20%</t>
  </si>
  <si>
    <t xml:space="preserve">A 20% build overrun very nearly erases the corrected build advantage.</t>
  </si>
  <si>
    <t xml:space="preserve">Partner per-txn fee +/-20%</t>
  </si>
  <si>
    <t xml:space="preserve">Fee relief of 20% (SRP 148) closes most of the gap.</t>
  </si>
  <si>
    <t xml:space="preserve">Discount rate +/-3pp</t>
  </si>
  <si>
    <t xml:space="preserve">Second-order.</t>
  </si>
  <si>
    <t xml:space="preserve">On the working 950 basis the differential is negative (partner ahead by ~32) and build only overtakes above the base case. On the corrected basis the differential is positive across the modelled range. The sign of this line is set by the benefit basis, not by any cost input.</t>
  </si>
  <si>
    <t xml:space="preserve">Decision Framework — weighted criteria and recommendation</t>
  </si>
  <si>
    <t xml:space="preserve">Criterion</t>
  </si>
  <si>
    <t xml:space="preserve">Weight</t>
  </si>
  <si>
    <t xml:space="preserve">Build (1-5)</t>
  </si>
  <si>
    <t xml:space="preserve">Partner (1-5)</t>
  </si>
  <si>
    <t xml:space="preserve">Hybrid (1-5)</t>
  </si>
  <si>
    <t xml:space="preserve">Basis for the score</t>
  </si>
  <si>
    <t xml:space="preserve">Economics (corrected NPV, base adoption)</t>
  </si>
  <si>
    <t xml:space="preserve">NPVs 55 build / 25 partner / 23 hybrid — all marginal, and build now leads by more than the other two are worth.</t>
  </si>
  <si>
    <t xml:space="preserve">Time to market</t>
  </si>
  <si>
    <t xml:space="preserve">Build 18-24 months to MVP; partner and hybrid ~6 months.</t>
  </si>
  <si>
    <t xml:space="preserve">Data ownership and customer control</t>
  </si>
  <si>
    <t xml:space="preserve">Board hard requirement. Build owns the stack; PartnerA export terms open at 60d.</t>
  </si>
  <si>
    <t xml:space="preserve">Delivery risk</t>
  </si>
  <si>
    <t xml:space="preserve">P10: no in-house payments engineering, PCI scope unresolved; build estimate moved v1 to v3.</t>
  </si>
  <si>
    <t xml:space="preserve">Strategic fit and optionality</t>
  </si>
  <si>
    <t xml:space="preserve">All three support the non-fuel engine; build and hybrid preserve the owned-asset path.</t>
  </si>
  <si>
    <t xml:space="preserve">Weighted score (out of 5)</t>
  </si>
  <si>
    <t xml:space="preserve">RECOMMENDED PATH</t>
  </si>
  <si>
    <t xml:space="preserve">Build in house, as a gated commitment — not the unconditional programme the SRP 180-200bn framing implies. Conditional on the items below; partner is the fallback if the gates fail.</t>
  </si>
  <si>
    <t xml:space="preserve">Conditions</t>
  </si>
  <si>
    <t xml:space="preserve">1. Validate the adopter source mix with Mei-Ling Tan before any figure goes to the board. It is the largest unvalidated swing in the case (build NPV 55 on the management mix, 117 on the Meridian benchmark) and it is one-sided: the management projection is the low end.
2. Secure the delivery capability before the capex is committed. P10 found no in-house payments engineering and unresolved PCI-DSS scope. A qualified PCI QSA at programme initiation and an external delivery partner for the rails are preconditions of this recommendation, not options. A 20% build overrun swings the build-versus-partner differential by 32.9 and erases the lead outright.
3. Gate at the end of Year 1 on delivered adoption. Below roughly 14% Year-3 penetration the partner path overtakes build, so the programme should convert to a white-label rather than continue. Keep the FinTechPartnerA term sheet live for that purpose, and renegotiate its Year-1 100M transaction minimum (against 75M deliverable at base, 39M at low) and the Article 7.3 portability terms before it is signed for any purpose.
4. For the record against the sponsor brief: the model puts the build at 224.2 over five years, above the SRP 180-200bn IT estimate, and that is before the 40% Year-1 PCI overrun one comparable recorded.</t>
  </si>
  <si>
    <t xml:space="preserve">Why the call does not rest on the NPV gap</t>
  </si>
  <si>
    <t xml:space="preserve">Corrected to the transaction-weighted margin, build leads at 54.7 against partner 24.6 and hybrid 23.4. That lead is the largest spread in the case and it is still smaller than the 63 the adopter mix alone moves, so it is directional, not decisive. What does the work is the shape behind it: hybrid pays partner fees and build costs together for three years and buys time to market rather than value; partner is the weakest of the three on a corrected basis and carries the Year-1 volume floor in its own term sheet. Note that this reverses the working model, which put build worst on value and the fast-to-market paths ahead of it — an artefact of the overstated benefit inflating the time-to-value penalty, which falls from 102.8 to 37.5 once the margin is right-sized. The gates above exist because the case is marginal and the delivery risk, not the economics, is what can break it.</t>
  </si>
  <si>
    <t xml:space="preserve">Out of scope: wallet feature set, loyalty mechanics and customer proposition (P40).</t>
  </si>
</sst>
</file>

<file path=xl/styles.xml><?xml version="1.0" encoding="utf-8"?>
<styleSheet xmlns="http://schemas.openxmlformats.org/spreadsheetml/2006/main">
  <numFmts count="8">
    <numFmt numFmtId="164" formatCode="General"/>
    <numFmt numFmtId="165" formatCode="0.0%"/>
    <numFmt numFmtId="166" formatCode="#,##0.0"/>
    <numFmt numFmtId="167" formatCode="#,##0"/>
    <numFmt numFmtId="168" formatCode="0.00"/>
    <numFmt numFmtId="169" formatCode="0.000"/>
    <numFmt numFmtId="170" formatCode="0.0"/>
    <numFmt numFmtId="171" formatCode="0.0000"/>
  </numFmts>
  <fonts count="8">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
      <i val="true"/>
      <sz val="8"/>
      <color rgb="FF595959"/>
      <name val="Cambria"/>
      <family val="0"/>
      <charset val="1"/>
    </font>
    <font>
      <b val="true"/>
      <sz val="10"/>
      <name val="Cambria"/>
      <family val="0"/>
      <charset val="1"/>
    </font>
    <font>
      <b val="true"/>
      <sz val="10"/>
      <color rgb="FF1F4E79"/>
      <name val="Cambria"/>
      <family val="0"/>
      <charset val="1"/>
    </font>
  </fonts>
  <fills count="5">
    <fill>
      <patternFill patternType="none"/>
    </fill>
    <fill>
      <patternFill patternType="gray125"/>
    </fill>
    <fill>
      <patternFill patternType="solid">
        <fgColor rgb="FFDCE6F1"/>
        <bgColor rgb="FFE2EFDA"/>
      </patternFill>
    </fill>
    <fill>
      <patternFill patternType="solid">
        <fgColor rgb="FFFFF2CC"/>
        <bgColor rgb="FFE2EFDA"/>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0" fontId="0" fillId="4"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70" fontId="6" fillId="4" borderId="1"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7"/>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4" t="s">
        <v>4</v>
      </c>
      <c r="D4" s="4" t="s">
        <v>5</v>
      </c>
    </row>
    <row r="5" customFormat="false" ht="15" hidden="false" customHeight="false" outlineLevel="0" collapsed="false">
      <c r="A5" s="5" t="s">
        <v>6</v>
      </c>
      <c r="B5" s="6" t="n">
        <v>0.125</v>
      </c>
      <c r="C5" s="5" t="s">
        <v>7</v>
      </c>
      <c r="D5" s="7" t="s">
        <v>8</v>
      </c>
    </row>
    <row r="6" customFormat="false" ht="15" hidden="false" customHeight="false" outlineLevel="0" collapsed="false">
      <c r="A6" s="5" t="s">
        <v>9</v>
      </c>
      <c r="B6" s="8" t="n">
        <v>1243.6</v>
      </c>
      <c r="C6" s="5" t="s">
        <v>10</v>
      </c>
      <c r="D6" s="7" t="s">
        <v>11</v>
      </c>
    </row>
    <row r="7" customFormat="false" ht="15" hidden="false" customHeight="false" outlineLevel="0" collapsed="false">
      <c r="A7" s="5" t="s">
        <v>12</v>
      </c>
      <c r="B7" s="6" t="n">
        <v>0.043</v>
      </c>
      <c r="C7" s="5" t="s">
        <v>7</v>
      </c>
      <c r="D7" s="7" t="s">
        <v>13</v>
      </c>
    </row>
    <row r="8" customFormat="false" ht="15" hidden="false" customHeight="false" outlineLevel="0" collapsed="false">
      <c r="A8" s="5" t="s">
        <v>14</v>
      </c>
      <c r="B8" s="8" t="n">
        <v>14250</v>
      </c>
      <c r="C8" s="5" t="s">
        <v>15</v>
      </c>
      <c r="D8" s="7" t="s">
        <v>16</v>
      </c>
    </row>
    <row r="9" customFormat="false" ht="15" hidden="false" customHeight="false" outlineLevel="0" collapsed="false">
      <c r="A9" s="5" t="s">
        <v>17</v>
      </c>
      <c r="B9" s="8" t="n">
        <v>1.5</v>
      </c>
      <c r="C9" s="5" t="s">
        <v>18</v>
      </c>
      <c r="D9" s="7" t="s">
        <v>19</v>
      </c>
    </row>
    <row r="10" customFormat="false" ht="15" hidden="false" customHeight="false" outlineLevel="0" collapsed="false">
      <c r="A10" s="5" t="s">
        <v>20</v>
      </c>
      <c r="B10" s="6" t="n">
        <v>0.058</v>
      </c>
      <c r="C10" s="5" t="s">
        <v>21</v>
      </c>
      <c r="D10" s="7" t="s">
        <v>22</v>
      </c>
    </row>
    <row r="11" customFormat="false" ht="15" hidden="false" customHeight="false" outlineLevel="0" collapsed="false">
      <c r="A11" s="5" t="s">
        <v>23</v>
      </c>
      <c r="B11" s="8" t="n">
        <v>185</v>
      </c>
      <c r="C11" s="5" t="s">
        <v>15</v>
      </c>
      <c r="D11" s="7" t="s">
        <v>24</v>
      </c>
    </row>
    <row r="12" customFormat="false" ht="15" hidden="false" customHeight="false" outlineLevel="0" collapsed="false">
      <c r="A12" s="5" t="s">
        <v>25</v>
      </c>
      <c r="B12" s="6" t="n">
        <v>0.0062</v>
      </c>
      <c r="C12" s="5" t="s">
        <v>7</v>
      </c>
      <c r="D12" s="7" t="s">
        <v>26</v>
      </c>
    </row>
    <row r="13" customFormat="false" ht="15" hidden="false" customHeight="false" outlineLevel="0" collapsed="false">
      <c r="A13" s="5" t="s">
        <v>27</v>
      </c>
      <c r="B13" s="8" t="n">
        <v>9.7</v>
      </c>
      <c r="C13" s="5" t="s">
        <v>28</v>
      </c>
      <c r="D13" s="7" t="s">
        <v>26</v>
      </c>
    </row>
    <row r="14" customFormat="false" ht="15" hidden="false" customHeight="false" outlineLevel="0" collapsed="false">
      <c r="A14" s="5" t="s">
        <v>29</v>
      </c>
      <c r="B14" s="8" t="n">
        <v>14.2</v>
      </c>
      <c r="C14" s="5" t="s">
        <v>28</v>
      </c>
      <c r="D14" s="7" t="s">
        <v>26</v>
      </c>
    </row>
    <row r="15" customFormat="false" ht="15" hidden="false" customHeight="false" outlineLevel="0" collapsed="false">
      <c r="A15" s="5" t="s">
        <v>30</v>
      </c>
      <c r="B15" s="8" t="n">
        <v>1.8</v>
      </c>
      <c r="C15" s="5" t="s">
        <v>31</v>
      </c>
      <c r="D15" s="7" t="s">
        <v>32</v>
      </c>
    </row>
    <row r="16" customFormat="false" ht="15" hidden="false" customHeight="false" outlineLevel="0" collapsed="false">
      <c r="A16" s="5" t="s">
        <v>33</v>
      </c>
      <c r="B16" s="8" t="n">
        <v>18</v>
      </c>
      <c r="C16" s="5" t="s">
        <v>28</v>
      </c>
      <c r="D16" s="7" t="s">
        <v>34</v>
      </c>
    </row>
    <row r="18" customFormat="false" ht="15" hidden="false" customHeight="false" outlineLevel="0" collapsed="false">
      <c r="A18" s="9" t="s">
        <v>35</v>
      </c>
    </row>
    <row r="19" customFormat="false" ht="35.05" hidden="false" customHeight="false" outlineLevel="0" collapsed="false">
      <c r="A19" s="3" t="s">
        <v>36</v>
      </c>
      <c r="B19" s="4" t="s">
        <v>37</v>
      </c>
      <c r="C19" s="4" t="s">
        <v>38</v>
      </c>
      <c r="D19" s="4" t="s">
        <v>39</v>
      </c>
      <c r="E19" s="4" t="s">
        <v>40</v>
      </c>
    </row>
    <row r="20" customFormat="false" ht="15" hidden="false" customHeight="false" outlineLevel="0" collapsed="false">
      <c r="A20" s="5" t="s">
        <v>41</v>
      </c>
      <c r="B20" s="10" t="n">
        <v>950</v>
      </c>
      <c r="C20" s="11" t="n">
        <v>0.3</v>
      </c>
      <c r="D20" s="11" t="n">
        <v>0.45</v>
      </c>
      <c r="E20" s="12" t="n">
        <v>8.4</v>
      </c>
    </row>
    <row r="21" customFormat="false" ht="15" hidden="false" customHeight="false" outlineLevel="0" collapsed="false">
      <c r="A21" s="5" t="s">
        <v>42</v>
      </c>
      <c r="B21" s="10" t="n">
        <v>180</v>
      </c>
      <c r="C21" s="11" t="n">
        <v>0.52</v>
      </c>
      <c r="D21" s="11" t="n">
        <v>0.4</v>
      </c>
      <c r="E21" s="12" t="n">
        <v>13.1</v>
      </c>
    </row>
    <row r="22" customFormat="false" ht="15" hidden="false" customHeight="false" outlineLevel="0" collapsed="false">
      <c r="A22" s="5" t="s">
        <v>43</v>
      </c>
      <c r="B22" s="10" t="n">
        <v>180</v>
      </c>
      <c r="C22" s="11" t="n">
        <v>0.18</v>
      </c>
      <c r="D22" s="11" t="n">
        <v>0.15</v>
      </c>
      <c r="E22" s="12" t="n">
        <f aca="false">ROUND((0.218*12.6+0.089*13.4)/0.307,2)</f>
        <v>12.83</v>
      </c>
    </row>
    <row r="23" customFormat="false" ht="15" hidden="false" customHeight="false" outlineLevel="0" collapsed="false">
      <c r="A23" s="13" t="s">
        <v>44</v>
      </c>
      <c r="C23" s="14" t="n">
        <f aca="false">SUM(C20:C22)</f>
        <v>1</v>
      </c>
      <c r="D23" s="14" t="n">
        <f aca="false">SUM(D20:D22)</f>
        <v>1</v>
      </c>
    </row>
    <row r="24" customFormat="false" ht="15" hidden="false" customHeight="false" outlineLevel="0" collapsed="false">
      <c r="A24" s="2" t="s">
        <v>45</v>
      </c>
    </row>
    <row r="26" customFormat="false" ht="15" hidden="false" customHeight="false" outlineLevel="0" collapsed="false">
      <c r="A26" s="13" t="s">
        <v>46</v>
      </c>
    </row>
    <row r="27" customFormat="false" ht="15" hidden="false" customHeight="false" outlineLevel="0" collapsed="false">
      <c r="A27" s="3" t="s">
        <v>47</v>
      </c>
      <c r="B27" s="4" t="s">
        <v>48</v>
      </c>
      <c r="C27" s="4" t="s">
        <v>49</v>
      </c>
      <c r="D27" s="4" t="s">
        <v>50</v>
      </c>
    </row>
    <row r="28" customFormat="false" ht="15" hidden="false" customHeight="false" outlineLevel="0" collapsed="false">
      <c r="A28" s="5" t="s">
        <v>51</v>
      </c>
      <c r="B28" s="15" t="n">
        <f aca="false">C20*E20</f>
        <v>2.52</v>
      </c>
      <c r="C28" s="15" t="n">
        <f aca="false">D20*E20</f>
        <v>3.78</v>
      </c>
      <c r="D28" s="7"/>
    </row>
    <row r="29" customFormat="false" ht="15" hidden="false" customHeight="false" outlineLevel="0" collapsed="false">
      <c r="A29" s="5" t="s">
        <v>52</v>
      </c>
      <c r="B29" s="15" t="n">
        <f aca="false">C21*E21</f>
        <v>6.812</v>
      </c>
      <c r="C29" s="15" t="n">
        <f aca="false">D21*E21</f>
        <v>5.24</v>
      </c>
      <c r="D29" s="7"/>
    </row>
    <row r="30" customFormat="false" ht="15" hidden="false" customHeight="false" outlineLevel="0" collapsed="false">
      <c r="A30" s="5" t="s">
        <v>53</v>
      </c>
      <c r="B30" s="15" t="n">
        <f aca="false">C22*E22</f>
        <v>2.3094</v>
      </c>
      <c r="C30" s="15" t="n">
        <f aca="false">D22*E22</f>
        <v>1.9245</v>
      </c>
      <c r="D30" s="7"/>
    </row>
    <row r="31" customFormat="false" ht="15" hidden="false" customHeight="false" outlineLevel="0" collapsed="false">
      <c r="A31" s="5" t="s">
        <v>54</v>
      </c>
      <c r="B31" s="15" t="n">
        <f aca="false">SUM(B28:B30)</f>
        <v>11.6414</v>
      </c>
      <c r="C31" s="15" t="n">
        <f aca="false">SUM(C28:C30)</f>
        <v>10.9445</v>
      </c>
      <c r="D31" s="7"/>
    </row>
    <row r="32" customFormat="false" ht="15" hidden="false" customHeight="false" outlineLevel="0" collapsed="false">
      <c r="A32" s="5" t="s">
        <v>55</v>
      </c>
      <c r="B32" s="11" t="n">
        <f aca="false">B28/B31</f>
        <v>0.216468809593348</v>
      </c>
      <c r="C32" s="11" t="n">
        <f aca="false">C28/C31</f>
        <v>0.345378957467221</v>
      </c>
      <c r="D32" s="7" t="s">
        <v>56</v>
      </c>
    </row>
    <row r="33" customFormat="false" ht="15" hidden="false" customHeight="false" outlineLevel="0" collapsed="false">
      <c r="A33" s="16" t="s">
        <v>57</v>
      </c>
      <c r="B33" s="17" t="n">
        <f aca="false">B32*$B$20+(1-B32)*$B$21</f>
        <v>346.680983386878</v>
      </c>
      <c r="C33" s="17" t="n">
        <f aca="false">C32*$B$20+(1-C32)*$B$21</f>
        <v>445.94179724976</v>
      </c>
      <c r="D33" s="7" t="s">
        <v>58</v>
      </c>
    </row>
    <row r="34" customFormat="false" ht="15" hidden="false" customHeight="false" outlineLevel="0" collapsed="false">
      <c r="A34" s="5" t="s">
        <v>59</v>
      </c>
      <c r="B34" s="18" t="n">
        <f aca="false">C20*$B$20+(1-C20)*$B$21</f>
        <v>411</v>
      </c>
      <c r="C34" s="18" t="n">
        <f aca="false">D20*$B$20+(1-D20)*$B$21</f>
        <v>526.5</v>
      </c>
      <c r="D34" s="7" t="s">
        <v>60</v>
      </c>
    </row>
    <row r="36" customFormat="false" ht="15" hidden="false" customHeight="false" outlineLevel="0" collapsed="false">
      <c r="A36" s="9" t="s">
        <v>61</v>
      </c>
      <c r="B36" s="19" t="n">
        <f aca="false">B33</f>
        <v>346.680983386878</v>
      </c>
      <c r="C36" s="2" t="s">
        <v>62</v>
      </c>
    </row>
    <row r="37" customFormat="false" ht="15" hidden="false" customHeight="false" outlineLevel="0" collapsed="false">
      <c r="A37" s="2" t="s">
        <v>63</v>
      </c>
    </row>
    <row r="39" customFormat="false" ht="15" hidden="false" customHeight="false" outlineLevel="0" collapsed="false">
      <c r="A39" s="9" t="s">
        <v>64</v>
      </c>
    </row>
    <row r="40" customFormat="false" ht="15" hidden="false" customHeight="false" outlineLevel="0" collapsed="false">
      <c r="A40" s="3" t="s">
        <v>65</v>
      </c>
      <c r="B40" s="4" t="s">
        <v>66</v>
      </c>
      <c r="C40" s="4" t="s">
        <v>67</v>
      </c>
      <c r="D40" s="4" t="s">
        <v>68</v>
      </c>
      <c r="E40" s="4" t="s">
        <v>69</v>
      </c>
      <c r="F40" s="4" t="s">
        <v>70</v>
      </c>
    </row>
    <row r="41" customFormat="false" ht="15" hidden="false" customHeight="false" outlineLevel="0" collapsed="false">
      <c r="A41" s="5" t="s">
        <v>71</v>
      </c>
      <c r="B41" s="11" t="n">
        <v>0.03</v>
      </c>
      <c r="C41" s="11" t="n">
        <v>0.062</v>
      </c>
      <c r="D41" s="11" t="n">
        <v>0.097</v>
      </c>
      <c r="E41" s="11" t="n">
        <v>0.128</v>
      </c>
      <c r="F41" s="11" t="n">
        <v>0.154</v>
      </c>
    </row>
    <row r="42" customFormat="false" ht="15" hidden="false" customHeight="false" outlineLevel="0" collapsed="false">
      <c r="A42" s="5" t="s">
        <v>72</v>
      </c>
      <c r="B42" s="11" t="n">
        <v>0.058</v>
      </c>
      <c r="C42" s="11" t="n">
        <v>0.112</v>
      </c>
      <c r="D42" s="11" t="n">
        <v>0.168</v>
      </c>
      <c r="E42" s="11" t="n">
        <v>0.213</v>
      </c>
      <c r="F42" s="11" t="n">
        <v>0.247</v>
      </c>
    </row>
    <row r="43" customFormat="false" ht="15" hidden="false" customHeight="false" outlineLevel="0" collapsed="false">
      <c r="A43" s="5" t="s">
        <v>73</v>
      </c>
      <c r="B43" s="11" t="n">
        <v>0.091</v>
      </c>
      <c r="C43" s="11" t="n">
        <v>0.167</v>
      </c>
      <c r="D43" s="11" t="n">
        <v>0.236</v>
      </c>
      <c r="E43" s="11" t="n">
        <v>0.289</v>
      </c>
      <c r="F43" s="11" t="n">
        <v>0.321</v>
      </c>
    </row>
    <row r="45" customFormat="false" ht="15" hidden="false" customHeight="false" outlineLevel="0" collapsed="false">
      <c r="A45" s="9" t="s">
        <v>74</v>
      </c>
    </row>
    <row r="46" customFormat="false" ht="15" hidden="false" customHeight="false" outlineLevel="0" collapsed="false">
      <c r="A46" s="3" t="s">
        <v>65</v>
      </c>
      <c r="B46" s="4" t="s">
        <v>66</v>
      </c>
      <c r="C46" s="4" t="s">
        <v>67</v>
      </c>
      <c r="D46" s="4" t="s">
        <v>68</v>
      </c>
      <c r="E46" s="4" t="s">
        <v>69</v>
      </c>
      <c r="F46" s="4" t="s">
        <v>70</v>
      </c>
    </row>
    <row r="47" customFormat="false" ht="15" hidden="false" customHeight="false" outlineLevel="0" collapsed="false">
      <c r="A47" s="5" t="s">
        <v>71</v>
      </c>
      <c r="B47" s="20" t="n">
        <f aca="false">ROUND($B$6*(1+$B$7)^1*B41,2)</f>
        <v>38.91</v>
      </c>
      <c r="C47" s="20" t="n">
        <f aca="false">ROUND($B$6*(1+$B$7)^2*C41,2)</f>
        <v>83.88</v>
      </c>
      <c r="D47" s="20" t="n">
        <f aca="false">ROUND($B$6*(1+$B$7)^3*D41,2)</f>
        <v>136.87</v>
      </c>
      <c r="E47" s="20" t="n">
        <f aca="false">ROUND($B$6*(1+$B$7)^4*E41,2)</f>
        <v>188.38</v>
      </c>
      <c r="F47" s="20" t="n">
        <f aca="false">ROUND($B$6*(1+$B$7)^5*F41,2)</f>
        <v>236.39</v>
      </c>
    </row>
    <row r="48" customFormat="false" ht="15" hidden="false" customHeight="false" outlineLevel="0" collapsed="false">
      <c r="A48" s="5" t="s">
        <v>75</v>
      </c>
      <c r="B48" s="20" t="n">
        <f aca="false">ROUND($B$6*(1+$B$7)^1*B42,2)</f>
        <v>75.23</v>
      </c>
      <c r="C48" s="20" t="n">
        <f aca="false">ROUND($B$6*(1+$B$7)^2*C42,2)</f>
        <v>151.52</v>
      </c>
      <c r="D48" s="20" t="n">
        <f aca="false">ROUND($B$6*(1+$B$7)^3*D42,2)</f>
        <v>237.05</v>
      </c>
      <c r="E48" s="20" t="n">
        <f aca="false">ROUND($B$6*(1+$B$7)^4*E42,2)</f>
        <v>313.47</v>
      </c>
      <c r="F48" s="20" t="n">
        <f aca="false">ROUND($B$6*(1+$B$7)^5*F42,2)</f>
        <v>379.14</v>
      </c>
    </row>
    <row r="49" customFormat="false" ht="15" hidden="false" customHeight="false" outlineLevel="0" collapsed="false">
      <c r="A49" s="5" t="s">
        <v>73</v>
      </c>
      <c r="B49" s="20" t="n">
        <f aca="false">ROUND($B$6*(1+$B$7)^1*B43,2)</f>
        <v>118.03</v>
      </c>
      <c r="C49" s="20" t="n">
        <f aca="false">ROUND($B$6*(1+$B$7)^2*C43,2)</f>
        <v>225.93</v>
      </c>
      <c r="D49" s="20" t="n">
        <f aca="false">ROUND($B$6*(1+$B$7)^3*D43,2)</f>
        <v>333</v>
      </c>
      <c r="E49" s="20" t="n">
        <f aca="false">ROUND($B$6*(1+$B$7)^4*E43,2)</f>
        <v>425.32</v>
      </c>
      <c r="F49" s="20" t="n">
        <f aca="false">ROUND($B$6*(1+$B$7)^5*F43,2)</f>
        <v>492.73</v>
      </c>
    </row>
    <row r="51" customFormat="false" ht="15" hidden="false" customHeight="false" outlineLevel="0" collapsed="false">
      <c r="A51" s="2"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3"/>
    <col collapsed="false" customWidth="true" hidden="false" outlineLevel="0" max="7" min="7" style="0" width="14"/>
  </cols>
  <sheetData>
    <row r="1" customFormat="false" ht="15" hidden="false" customHeight="false" outlineLevel="0" collapsed="false">
      <c r="A1" s="1" t="s">
        <v>77</v>
      </c>
    </row>
    <row r="2" customFormat="false" ht="15" hidden="false" customHeight="false" outlineLevel="0" collapsed="false">
      <c r="A2" s="2" t="s">
        <v>1</v>
      </c>
    </row>
    <row r="4" customFormat="false" ht="15" hidden="false" customHeight="false" outlineLevel="0" collapsed="false">
      <c r="A4" s="3" t="s">
        <v>78</v>
      </c>
      <c r="B4" s="4" t="s">
        <v>66</v>
      </c>
      <c r="C4" s="4" t="s">
        <v>67</v>
      </c>
      <c r="D4" s="4" t="s">
        <v>68</v>
      </c>
      <c r="E4" s="4" t="s">
        <v>69</v>
      </c>
      <c r="F4" s="4" t="s">
        <v>70</v>
      </c>
      <c r="G4" s="4" t="s">
        <v>79</v>
      </c>
    </row>
    <row r="5" customFormat="false" ht="15" hidden="false" customHeight="false" outlineLevel="0" collapsed="false">
      <c r="A5" s="5" t="s">
        <v>80</v>
      </c>
      <c r="B5" s="20" t="n">
        <v>38.4</v>
      </c>
      <c r="C5" s="20" t="n">
        <v>24.7</v>
      </c>
      <c r="D5" s="20" t="n">
        <v>7.6</v>
      </c>
      <c r="E5" s="20" t="n">
        <v>4.2</v>
      </c>
      <c r="F5" s="20" t="n">
        <v>3.1</v>
      </c>
      <c r="G5" s="20" t="n">
        <f aca="false">SUM(B5:F5)</f>
        <v>78</v>
      </c>
    </row>
    <row r="6" customFormat="false" ht="15" hidden="false" customHeight="false" outlineLevel="0" collapsed="false">
      <c r="A6" s="5" t="s">
        <v>81</v>
      </c>
      <c r="B6" s="20" t="n">
        <v>4.8</v>
      </c>
      <c r="C6" s="20" t="n">
        <v>4.8</v>
      </c>
      <c r="D6" s="20" t="n">
        <v>5.1</v>
      </c>
      <c r="E6" s="20" t="n">
        <v>5.1</v>
      </c>
      <c r="F6" s="20" t="n">
        <v>5.4</v>
      </c>
      <c r="G6" s="20" t="n">
        <f aca="false">SUM(B6:F6)</f>
        <v>25.2</v>
      </c>
    </row>
    <row r="7" customFormat="false" ht="15" hidden="false" customHeight="false" outlineLevel="0" collapsed="false">
      <c r="A7" s="5" t="s">
        <v>82</v>
      </c>
      <c r="B7" s="20" t="n">
        <v>2.9</v>
      </c>
      <c r="C7" s="20" t="n">
        <v>2.9</v>
      </c>
      <c r="D7" s="20" t="n">
        <v>2.9</v>
      </c>
      <c r="E7" s="20" t="n">
        <v>3.1</v>
      </c>
      <c r="F7" s="20" t="n">
        <v>3.1</v>
      </c>
      <c r="G7" s="20" t="n">
        <f aca="false">SUM(B7:F7)</f>
        <v>14.9</v>
      </c>
    </row>
    <row r="8" customFormat="false" ht="15" hidden="false" customHeight="false" outlineLevel="0" collapsed="false">
      <c r="A8" s="5" t="s">
        <v>83</v>
      </c>
      <c r="B8" s="20" t="n">
        <v>1.7</v>
      </c>
      <c r="C8" s="20" t="n">
        <v>2.4</v>
      </c>
      <c r="D8" s="20" t="n">
        <v>3.2</v>
      </c>
      <c r="E8" s="20" t="n">
        <v>3.9</v>
      </c>
      <c r="F8" s="20" t="n">
        <v>4.6</v>
      </c>
      <c r="G8" s="20" t="n">
        <f aca="false">SUM(B8:F8)</f>
        <v>15.8</v>
      </c>
    </row>
    <row r="9" customFormat="false" ht="15" hidden="false" customHeight="false" outlineLevel="0" collapsed="false">
      <c r="A9" s="5" t="s">
        <v>84</v>
      </c>
      <c r="B9" s="20" t="n">
        <v>3.8</v>
      </c>
      <c r="C9" s="20" t="n">
        <v>4.6</v>
      </c>
      <c r="D9" s="20" t="n">
        <v>5.3</v>
      </c>
      <c r="E9" s="20" t="n">
        <v>5.9</v>
      </c>
      <c r="F9" s="20" t="n">
        <v>6.4</v>
      </c>
      <c r="G9" s="20" t="n">
        <f aca="false">SUM(B9:F9)</f>
        <v>26</v>
      </c>
    </row>
    <row r="10" customFormat="false" ht="15" hidden="false" customHeight="false" outlineLevel="0" collapsed="false">
      <c r="A10" s="5" t="s">
        <v>85</v>
      </c>
      <c r="B10" s="20" t="n">
        <v>8.6</v>
      </c>
      <c r="C10" s="20" t="n">
        <v>11.3</v>
      </c>
      <c r="D10" s="20" t="n">
        <v>13.7</v>
      </c>
      <c r="E10" s="20" t="n">
        <v>14.9</v>
      </c>
      <c r="F10" s="20" t="n">
        <v>15.8</v>
      </c>
      <c r="G10" s="20" t="n">
        <f aca="false">SUM(B10:F10)</f>
        <v>64.3</v>
      </c>
    </row>
    <row r="11" customFormat="false" ht="15" hidden="false" customHeight="false" outlineLevel="0" collapsed="false">
      <c r="A11" s="16" t="s">
        <v>86</v>
      </c>
      <c r="B11" s="21" t="n">
        <f aca="false">SUM(B5:B10)</f>
        <v>60.2</v>
      </c>
      <c r="C11" s="21" t="n">
        <f aca="false">SUM(C5:C10)</f>
        <v>50.7</v>
      </c>
      <c r="D11" s="21" t="n">
        <f aca="false">SUM(D5:D10)</f>
        <v>37.8</v>
      </c>
      <c r="E11" s="21" t="n">
        <f aca="false">SUM(E5:E10)</f>
        <v>37.1</v>
      </c>
      <c r="F11" s="21" t="n">
        <f aca="false">SUM(F5:F10)</f>
        <v>38.4</v>
      </c>
      <c r="G11" s="21" t="n">
        <f aca="false">SUM(B11:F11)</f>
        <v>224.2</v>
      </c>
    </row>
    <row r="13" customFormat="false" ht="15" hidden="false" customHeight="false" outlineLevel="0" collapsed="false">
      <c r="A13" s="0" t="s">
        <v>87</v>
      </c>
      <c r="B13" s="22" t="n">
        <f aca="false">G11</f>
        <v>224.2</v>
      </c>
    </row>
    <row r="14" customFormat="false" ht="15" hidden="false" customHeight="false" outlineLevel="0" collapsed="false">
      <c r="A14" s="0" t="s">
        <v>88</v>
      </c>
      <c r="B14" s="22" t="n">
        <f aca="false">SUMPRODUCT(B11:F11,1/(1+Assumptions!$B$5)^{1,2,3,4,5})</f>
        <v>164.58913783468</v>
      </c>
    </row>
    <row r="16" customFormat="false" ht="15" hidden="false" customHeight="false" outlineLevel="0" collapsed="false">
      <c r="A16" s="2" t="s">
        <v>89</v>
      </c>
    </row>
    <row r="17" customFormat="false" ht="15" hidden="false" customHeight="false" outlineLevel="0" collapsed="false">
      <c r="A17" s="2"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3"/>
    <col collapsed="false" customWidth="true" hidden="false" outlineLevel="0" max="8" min="7" style="0" width="14"/>
  </cols>
  <sheetData>
    <row r="1" customFormat="false" ht="15" hidden="false" customHeight="false" outlineLevel="0" collapsed="false">
      <c r="A1" s="1" t="s">
        <v>91</v>
      </c>
    </row>
    <row r="2" customFormat="false" ht="15" hidden="false" customHeight="false" outlineLevel="0" collapsed="false">
      <c r="A2" s="2" t="s">
        <v>1</v>
      </c>
    </row>
    <row r="3" customFormat="false" ht="15" hidden="false" customHeight="false" outlineLevel="0" collapsed="false">
      <c r="A3" s="2" t="s">
        <v>92</v>
      </c>
    </row>
    <row r="5" customFormat="false" ht="15" hidden="false" customHeight="false" outlineLevel="0" collapsed="false">
      <c r="A5" s="3" t="s">
        <v>93</v>
      </c>
      <c r="B5" s="4" t="s">
        <v>66</v>
      </c>
      <c r="C5" s="4" t="s">
        <v>67</v>
      </c>
      <c r="D5" s="4" t="s">
        <v>68</v>
      </c>
      <c r="E5" s="4" t="s">
        <v>69</v>
      </c>
      <c r="F5" s="4" t="s">
        <v>70</v>
      </c>
      <c r="G5" s="4" t="s">
        <v>94</v>
      </c>
      <c r="H5" s="4" t="s">
        <v>95</v>
      </c>
    </row>
    <row r="6" customFormat="false" ht="15" hidden="false" customHeight="false" outlineLevel="0" collapsed="false">
      <c r="A6" s="5" t="s">
        <v>71</v>
      </c>
      <c r="B6" s="20" t="n">
        <f aca="false">Assumptions!B47*Assumptions!$B$11/1000+Assumptions!B47*Assumptions!$B$8*Assumptions!$B$12/1000+Assumptions!$B$15+Assumptions!$B$13</f>
        <v>22.1360485</v>
      </c>
      <c r="C6" s="20" t="n">
        <f aca="false">Assumptions!C47*Assumptions!$B$11/1000+Assumptions!C47*Assumptions!$B$8*Assumptions!$B$12/1000+Assumptions!$B$15</f>
        <v>24.728598</v>
      </c>
      <c r="D6" s="20" t="n">
        <f aca="false">Assumptions!D47*Assumptions!$B$11/1000+Assumptions!D47*Assumptions!$B$8*Assumptions!$B$12/1000+Assumptions!$B$15</f>
        <v>39.2134145</v>
      </c>
      <c r="E6" s="20" t="n">
        <f aca="false">Assumptions!E47*Assumptions!$B$11/1000+Assumptions!E47*Assumptions!$B$8*Assumptions!$B$12/1000+Assumptions!$B$15</f>
        <v>53.293673</v>
      </c>
      <c r="F6" s="20" t="n">
        <f aca="false">Assumptions!F47*Assumptions!$B$11/1000+Assumptions!F47*Assumptions!$B$8*Assumptions!$B$12/1000+Assumptions!$B$15+Assumptions!$B$14</f>
        <v>80.6172065</v>
      </c>
      <c r="G6" s="20" t="n">
        <f aca="false">SUM(B6:F6)</f>
        <v>219.9889405</v>
      </c>
      <c r="H6" s="20" t="n">
        <f aca="false">SUMPRODUCT(B6:F6,1/(1+Assumptions!$B$5)^{1,2,3,4,5})</f>
        <v>144.763767246931</v>
      </c>
    </row>
    <row r="7" customFormat="false" ht="15" hidden="false" customHeight="false" outlineLevel="0" collapsed="false">
      <c r="A7" s="5" t="s">
        <v>75</v>
      </c>
      <c r="B7" s="20" t="n">
        <f aca="false">Assumptions!B48*Assumptions!$B$11/1000+Assumptions!B48*Assumptions!$B$8*Assumptions!$B$12/1000+Assumptions!$B$15+Assumptions!$B$13</f>
        <v>32.0641205</v>
      </c>
      <c r="C7" s="20" t="n">
        <f aca="false">Assumptions!C48*Assumptions!$B$11/1000+Assumptions!C48*Assumptions!$B$8*Assumptions!$B$12/1000+Assumptions!$B$15</f>
        <v>43.217992</v>
      </c>
      <c r="D7" s="20" t="n">
        <f aca="false">Assumptions!D48*Assumptions!$B$11/1000+Assumptions!D48*Assumptions!$B$8*Assumptions!$B$12/1000+Assumptions!$B$15</f>
        <v>66.5976175</v>
      </c>
      <c r="E7" s="20" t="n">
        <f aca="false">Assumptions!E48*Assumptions!$B$11/1000+Assumptions!E48*Assumptions!$B$8*Assumptions!$B$12/1000+Assumptions!$B$15</f>
        <v>87.4870245</v>
      </c>
      <c r="F7" s="20" t="n">
        <f aca="false">Assumptions!F48*Assumptions!$B$11/1000+Assumptions!F48*Assumptions!$B$8*Assumptions!$B$12/1000+Assumptions!$B$15+Assumptions!$B$14</f>
        <v>119.637919</v>
      </c>
      <c r="G7" s="23" t="n">
        <f aca="false">SUM(B7:F7)</f>
        <v>349.0046735</v>
      </c>
      <c r="H7" s="23" t="n">
        <f aca="false">SUMPRODUCT(B7:F7,1/(1+Assumptions!$B$5)^{1,2,3,4,5})</f>
        <v>230.430889354197</v>
      </c>
    </row>
    <row r="8" customFormat="false" ht="15" hidden="false" customHeight="false" outlineLevel="0" collapsed="false">
      <c r="A8" s="5" t="s">
        <v>73</v>
      </c>
      <c r="B8" s="20" t="n">
        <f aca="false">Assumptions!B49*Assumptions!$B$11/1000+Assumptions!B49*Assumptions!$B$8*Assumptions!$B$12/1000+Assumptions!$B$15+Assumptions!$B$13</f>
        <v>43.7635005</v>
      </c>
      <c r="C8" s="20" t="n">
        <f aca="false">Assumptions!C49*Assumptions!$B$11/1000+Assumptions!C49*Assumptions!$B$8*Assumptions!$B$12/1000+Assumptions!$B$15</f>
        <v>63.5579655</v>
      </c>
      <c r="D8" s="20" t="n">
        <f aca="false">Assumptions!D49*Assumptions!$B$11/1000+Assumptions!D49*Assumptions!$B$8*Assumptions!$B$12/1000+Assumptions!$B$15</f>
        <v>92.82555</v>
      </c>
      <c r="E8" s="20" t="n">
        <f aca="false">Assumptions!E49*Assumptions!$B$11/1000+Assumptions!E49*Assumptions!$B$8*Assumptions!$B$12/1000+Assumptions!$B$15</f>
        <v>118.061222</v>
      </c>
      <c r="F8" s="20" t="n">
        <f aca="false">Assumptions!F49*Assumptions!$B$11/1000+Assumptions!F49*Assumptions!$B$8*Assumptions!$B$12/1000+Assumptions!$B$15+Assumptions!$B$14</f>
        <v>150.6877455</v>
      </c>
      <c r="G8" s="20" t="n">
        <f aca="false">SUM(B8:F8)</f>
        <v>468.8959835</v>
      </c>
      <c r="H8" s="20" t="n">
        <f aca="false">SUMPRODUCT(B8:F8,1/(1+Assumptions!$B$5)^{1,2,3,4,5})</f>
        <v>311.639912522888</v>
      </c>
    </row>
    <row r="10" customFormat="false" ht="15" hidden="false" customHeight="false" outlineLevel="0" collapsed="false">
      <c r="A10" s="2" t="s">
        <v>96</v>
      </c>
    </row>
    <row r="11" customFormat="false" ht="15" hidden="false" customHeight="false" outlineLevel="0" collapsed="false">
      <c r="A11" s="13" t="s">
        <v>97</v>
      </c>
    </row>
    <row r="12" customFormat="false" ht="15" hidden="false" customHeight="false" outlineLevel="0" collapsed="false">
      <c r="A12" s="2" t="s">
        <v>98</v>
      </c>
    </row>
    <row r="13" customFormat="false" ht="15" hidden="false" customHeight="false" outlineLevel="0" collapsed="false">
      <c r="A13" s="13" t="s">
        <v>99</v>
      </c>
      <c r="B13" s="24" t="n">
        <f aca="false">ROUND(MAX(0,100-Assumptions!B48)*Assumptions!$B$11/1000,2)</f>
        <v>4.58</v>
      </c>
      <c r="C13" s="25" t="n">
        <f aca="false">ROUND(MAX(0,100-Assumptions!B47)*Assumptions!$B$11/1000,2)</f>
        <v>11.3</v>
      </c>
      <c r="D13" s="2" t="s">
        <v>100</v>
      </c>
    </row>
    <row r="14" customFormat="false" ht="15" hidden="false" customHeight="false" outlineLevel="0" collapsed="false">
      <c r="A14" s="2" t="s">
        <v>101</v>
      </c>
    </row>
    <row r="15" customFormat="false" ht="15" hidden="false" customHeight="false" outlineLevel="0" collapsed="false">
      <c r="A15" s="2"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6" min="2" style="0" width="13"/>
    <col collapsed="false" customWidth="true" hidden="false" outlineLevel="0" max="7" min="7" style="0" width="14"/>
    <col collapsed="false" customWidth="true" hidden="false" outlineLevel="0" max="8" min="8" style="0" width="52"/>
  </cols>
  <sheetData>
    <row r="1" customFormat="false" ht="15" hidden="false" customHeight="false" outlineLevel="0" collapsed="false">
      <c r="A1" s="1" t="s">
        <v>103</v>
      </c>
    </row>
    <row r="2" customFormat="false" ht="15" hidden="false" customHeight="false" outlineLevel="0" collapsed="false">
      <c r="A2" s="2" t="s">
        <v>1</v>
      </c>
    </row>
    <row r="3" customFormat="false" ht="15" hidden="false" customHeight="false" outlineLevel="0" collapsed="false">
      <c r="A3" s="2" t="s">
        <v>104</v>
      </c>
    </row>
    <row r="5" customFormat="false" ht="15" hidden="false" customHeight="false" outlineLevel="0" collapsed="false">
      <c r="A5" s="3" t="s">
        <v>105</v>
      </c>
      <c r="B5" s="4" t="s">
        <v>66</v>
      </c>
      <c r="C5" s="4" t="s">
        <v>67</v>
      </c>
      <c r="D5" s="4" t="s">
        <v>68</v>
      </c>
      <c r="E5" s="4" t="s">
        <v>69</v>
      </c>
      <c r="F5" s="4" t="s">
        <v>70</v>
      </c>
      <c r="G5" s="4" t="s">
        <v>79</v>
      </c>
      <c r="H5" s="4" t="s">
        <v>5</v>
      </c>
    </row>
    <row r="6" customFormat="false" ht="15" hidden="false" customHeight="false" outlineLevel="0" collapsed="false">
      <c r="A6" s="5" t="s">
        <v>106</v>
      </c>
      <c r="B6" s="20" t="n">
        <f aca="false">Partner_Case!B7</f>
        <v>32.0641205</v>
      </c>
      <c r="C6" s="20" t="n">
        <f aca="false">Partner_Case!C7</f>
        <v>43.217992</v>
      </c>
      <c r="D6" s="20" t="n">
        <f aca="false">Partner_Case!D7</f>
        <v>66.5976175</v>
      </c>
      <c r="E6" s="20" t="n">
        <v>0</v>
      </c>
      <c r="F6" s="20" t="n">
        <v>0</v>
      </c>
      <c r="G6" s="20" t="n">
        <f aca="false">SUM(B6:F6)</f>
        <v>141.87973</v>
      </c>
      <c r="H6" s="7" t="s">
        <v>107</v>
      </c>
    </row>
    <row r="7" customFormat="false" ht="15" hidden="false" customHeight="false" outlineLevel="0" collapsed="false">
      <c r="A7" s="5" t="s">
        <v>108</v>
      </c>
      <c r="B7" s="20" t="n">
        <v>9.7</v>
      </c>
      <c r="C7" s="20" t="n">
        <v>10.8</v>
      </c>
      <c r="D7" s="20" t="n">
        <v>3.2</v>
      </c>
      <c r="E7" s="20" t="n">
        <v>1.5</v>
      </c>
      <c r="F7" s="20" t="n">
        <v>1.1</v>
      </c>
      <c r="G7" s="20" t="n">
        <f aca="false">SUM(B7:F7)</f>
        <v>26.3</v>
      </c>
      <c r="H7" s="7" t="s">
        <v>109</v>
      </c>
    </row>
    <row r="8" customFormat="false" ht="15" hidden="false" customHeight="false" outlineLevel="0" collapsed="false">
      <c r="A8" s="5" t="s">
        <v>110</v>
      </c>
      <c r="B8" s="20" t="n">
        <v>0</v>
      </c>
      <c r="C8" s="20" t="n">
        <v>25.85</v>
      </c>
      <c r="D8" s="20" t="n">
        <v>25.85</v>
      </c>
      <c r="E8" s="20" t="n">
        <v>0</v>
      </c>
      <c r="F8" s="20" t="n">
        <v>0</v>
      </c>
      <c r="G8" s="20" t="n">
        <f aca="false">SUM(B8:F8)</f>
        <v>51.7</v>
      </c>
      <c r="H8" s="7" t="s">
        <v>111</v>
      </c>
    </row>
    <row r="9" customFormat="false" ht="15" hidden="false" customHeight="false" outlineLevel="0" collapsed="false">
      <c r="A9" s="5" t="s">
        <v>112</v>
      </c>
      <c r="B9" s="20" t="n">
        <v>0</v>
      </c>
      <c r="C9" s="20" t="n">
        <v>0</v>
      </c>
      <c r="D9" s="20" t="n">
        <f aca="false">Assumptions!$B$14+Assumptions!$B$16</f>
        <v>32.2</v>
      </c>
      <c r="E9" s="20" t="n">
        <v>0</v>
      </c>
      <c r="F9" s="20" t="n">
        <v>0</v>
      </c>
      <c r="G9" s="20" t="n">
        <f aca="false">SUM(B9:F9)</f>
        <v>32.2</v>
      </c>
      <c r="H9" s="7" t="s">
        <v>113</v>
      </c>
    </row>
    <row r="10" customFormat="false" ht="15" hidden="false" customHeight="false" outlineLevel="0" collapsed="false">
      <c r="A10" s="5" t="s">
        <v>114</v>
      </c>
      <c r="B10" s="20" t="n">
        <v>0</v>
      </c>
      <c r="C10" s="20" t="n">
        <v>0</v>
      </c>
      <c r="D10" s="20" t="n">
        <v>0</v>
      </c>
      <c r="E10" s="20" t="n">
        <f aca="false">SUM(Build_Case!E6:E10)</f>
        <v>32.9</v>
      </c>
      <c r="F10" s="20" t="n">
        <f aca="false">SUM(Build_Case!F6:F10)</f>
        <v>35.3</v>
      </c>
      <c r="G10" s="20" t="n">
        <f aca="false">SUM(B10:F10)</f>
        <v>68.2</v>
      </c>
      <c r="H10" s="7" t="s">
        <v>115</v>
      </c>
    </row>
    <row r="11" customFormat="false" ht="15" hidden="false" customHeight="false" outlineLevel="0" collapsed="false">
      <c r="A11" s="16" t="s">
        <v>86</v>
      </c>
      <c r="B11" s="21" t="n">
        <f aca="false">SUM(B6:B10)</f>
        <v>41.7641205</v>
      </c>
      <c r="C11" s="21" t="n">
        <f aca="false">SUM(C6:C10)</f>
        <v>79.867992</v>
      </c>
      <c r="D11" s="21" t="n">
        <f aca="false">SUM(D6:D10)</f>
        <v>127.8476175</v>
      </c>
      <c r="E11" s="21" t="n">
        <f aca="false">SUM(E6:E10)</f>
        <v>34.4</v>
      </c>
      <c r="F11" s="21" t="n">
        <f aca="false">SUM(F6:F10)</f>
        <v>36.4</v>
      </c>
      <c r="G11" s="21" t="n">
        <f aca="false">SUM(B11:F11)</f>
        <v>320.27973</v>
      </c>
    </row>
    <row r="13" customFormat="false" ht="15" hidden="false" customHeight="false" outlineLevel="0" collapsed="false">
      <c r="A13" s="0" t="s">
        <v>116</v>
      </c>
      <c r="B13" s="22" t="n">
        <f aca="false">G11</f>
        <v>320.27973</v>
      </c>
    </row>
    <row r="14" customFormat="false" ht="15" hidden="false" customHeight="false" outlineLevel="0" collapsed="false">
      <c r="A14" s="0" t="s">
        <v>117</v>
      </c>
      <c r="B14" s="22" t="n">
        <f aca="false">SUMPRODUCT(B11:F11,1/(1+Assumptions!$B$5)^{1,2,3,4,5})</f>
        <v>231.695869269861</v>
      </c>
    </row>
    <row r="16" customFormat="false" ht="15" hidden="false" customHeight="false" outlineLevel="0" collapsed="false">
      <c r="A16" s="2" t="s">
        <v>118</v>
      </c>
    </row>
    <row r="17" customFormat="false" ht="15" hidden="false" customHeight="false" outlineLevel="0" collapsed="false">
      <c r="A17" s="2" t="s">
        <v>119</v>
      </c>
    </row>
    <row r="18" customFormat="false" ht="15" hidden="false" customHeight="false" outlineLevel="0" collapsed="false">
      <c r="A18" s="2"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5"/>
    <col collapsed="false" customWidth="true" hidden="false" outlineLevel="0" max="5" min="3" style="0" width="17"/>
    <col collapsed="false" customWidth="true" hidden="false" outlineLevel="0" max="6" min="6" style="0" width="54"/>
    <col collapsed="false" customWidth="true" hidden="false" outlineLevel="0" max="10" min="7" style="0" width="15"/>
  </cols>
  <sheetData>
    <row r="1" customFormat="false" ht="15" hidden="false" customHeight="false" outlineLevel="0" collapsed="false">
      <c r="A1" s="1" t="s">
        <v>121</v>
      </c>
    </row>
    <row r="2" customFormat="false" ht="15" hidden="false" customHeight="false" outlineLevel="0" collapsed="false">
      <c r="A2" s="2" t="s">
        <v>1</v>
      </c>
    </row>
    <row r="3" customFormat="false" ht="15" hidden="false" customHeight="false" outlineLevel="0" collapsed="false">
      <c r="A3" s="2" t="s">
        <v>122</v>
      </c>
    </row>
    <row r="5" customFormat="false" ht="23.85" hidden="false" customHeight="false" outlineLevel="0" collapsed="false">
      <c r="A5" s="3" t="s">
        <v>123</v>
      </c>
      <c r="B5" s="4" t="s">
        <v>124</v>
      </c>
      <c r="C5" s="4" t="s">
        <v>125</v>
      </c>
      <c r="D5" s="4" t="s">
        <v>126</v>
      </c>
      <c r="E5" s="4" t="s">
        <v>127</v>
      </c>
      <c r="F5" s="4" t="s">
        <v>128</v>
      </c>
      <c r="G5" s="4" t="s">
        <v>129</v>
      </c>
      <c r="H5" s="4" t="s">
        <v>130</v>
      </c>
      <c r="I5" s="4" t="s">
        <v>131</v>
      </c>
      <c r="J5" s="4" t="s">
        <v>132</v>
      </c>
    </row>
    <row r="6" customFormat="false" ht="15" hidden="false" customHeight="false" outlineLevel="0" collapsed="false">
      <c r="A6" s="5" t="s">
        <v>66</v>
      </c>
      <c r="B6" s="20" t="n">
        <f aca="false">ROUND(Assumptions!B48*Assumptions!$B$36*0/1000,2)</f>
        <v>0</v>
      </c>
      <c r="C6" s="20" t="n">
        <f aca="false">Build_Case!B11</f>
        <v>60.2</v>
      </c>
      <c r="D6" s="20" t="n">
        <f aca="false">B6-C6</f>
        <v>-60.2</v>
      </c>
      <c r="E6" s="20" t="n">
        <f aca="false">ROUND(Assumptions!B48*Assumptions!$B$36*0.65/1000,2)</f>
        <v>16.95</v>
      </c>
      <c r="F6" s="20" t="n">
        <f aca="false">Partner_Case!B7</f>
        <v>32.0641205</v>
      </c>
      <c r="G6" s="20" t="n">
        <f aca="false">E6-F6</f>
        <v>-15.1141205</v>
      </c>
      <c r="H6" s="20" t="n">
        <f aca="false">Hybrid_Case!B11</f>
        <v>41.7641205</v>
      </c>
      <c r="I6" s="20" t="n">
        <f aca="false">E6-H6</f>
        <v>-24.8141205</v>
      </c>
      <c r="J6" s="26" t="n">
        <f aca="false">1/(1+Assumptions!$B$5)^1</f>
        <v>0.888888888888889</v>
      </c>
    </row>
    <row r="7" customFormat="false" ht="15" hidden="false" customHeight="false" outlineLevel="0" collapsed="false">
      <c r="A7" s="5" t="s">
        <v>67</v>
      </c>
      <c r="B7" s="20" t="n">
        <f aca="false">ROUND(Assumptions!C48*Assumptions!$B$36*0.5/1000,2)</f>
        <v>26.26</v>
      </c>
      <c r="C7" s="20" t="n">
        <f aca="false">Build_Case!C11</f>
        <v>50.7</v>
      </c>
      <c r="D7" s="20" t="n">
        <f aca="false">B7-C7</f>
        <v>-24.44</v>
      </c>
      <c r="E7" s="20" t="n">
        <f aca="false">ROUND(Assumptions!C48*Assumptions!$B$36*1/1000,2)</f>
        <v>52.53</v>
      </c>
      <c r="F7" s="20" t="n">
        <f aca="false">Partner_Case!C7</f>
        <v>43.217992</v>
      </c>
      <c r="G7" s="20" t="n">
        <f aca="false">E7-F7</f>
        <v>9.31200800000001</v>
      </c>
      <c r="H7" s="20" t="n">
        <f aca="false">Hybrid_Case!C11</f>
        <v>79.867992</v>
      </c>
      <c r="I7" s="20" t="n">
        <f aca="false">E7-H7</f>
        <v>-27.337992</v>
      </c>
      <c r="J7" s="26" t="n">
        <f aca="false">1/(1+Assumptions!$B$5)^2</f>
        <v>0.790123456790123</v>
      </c>
    </row>
    <row r="8" customFormat="false" ht="15" hidden="false" customHeight="false" outlineLevel="0" collapsed="false">
      <c r="A8" s="5" t="s">
        <v>68</v>
      </c>
      <c r="B8" s="20" t="n">
        <f aca="false">ROUND(Assumptions!D48*Assumptions!$B$36*1/1000,2)</f>
        <v>82.18</v>
      </c>
      <c r="C8" s="20" t="n">
        <f aca="false">Build_Case!D11</f>
        <v>37.8</v>
      </c>
      <c r="D8" s="20" t="n">
        <f aca="false">B8-C8</f>
        <v>44.38</v>
      </c>
      <c r="E8" s="20" t="n">
        <f aca="false">ROUND(Assumptions!D48*Assumptions!$B$36*1/1000,2)</f>
        <v>82.18</v>
      </c>
      <c r="F8" s="20" t="n">
        <f aca="false">Partner_Case!D7</f>
        <v>66.5976175</v>
      </c>
      <c r="G8" s="20" t="n">
        <f aca="false">E8-F8</f>
        <v>15.5823825</v>
      </c>
      <c r="H8" s="20" t="n">
        <f aca="false">Hybrid_Case!D11</f>
        <v>127.8476175</v>
      </c>
      <c r="I8" s="20" t="n">
        <f aca="false">E8-H8</f>
        <v>-45.6676175</v>
      </c>
      <c r="J8" s="26" t="n">
        <f aca="false">1/(1+Assumptions!$B$5)^3</f>
        <v>0.702331961591221</v>
      </c>
    </row>
    <row r="9" customFormat="false" ht="15" hidden="false" customHeight="false" outlineLevel="0" collapsed="false">
      <c r="A9" s="5" t="s">
        <v>69</v>
      </c>
      <c r="B9" s="20" t="n">
        <f aca="false">ROUND(Assumptions!E48*Assumptions!$B$36*1/1000,2)</f>
        <v>108.67</v>
      </c>
      <c r="C9" s="20" t="n">
        <f aca="false">Build_Case!E11</f>
        <v>37.1</v>
      </c>
      <c r="D9" s="20" t="n">
        <f aca="false">B9-C9</f>
        <v>71.57</v>
      </c>
      <c r="E9" s="20" t="n">
        <f aca="false">ROUND(Assumptions!E48*Assumptions!$B$36*1/1000,2)</f>
        <v>108.67</v>
      </c>
      <c r="F9" s="20" t="n">
        <f aca="false">Partner_Case!E7</f>
        <v>87.4870245</v>
      </c>
      <c r="G9" s="20" t="n">
        <f aca="false">E9-F9</f>
        <v>21.1829755</v>
      </c>
      <c r="H9" s="20" t="n">
        <f aca="false">Hybrid_Case!E11</f>
        <v>34.4</v>
      </c>
      <c r="I9" s="20" t="n">
        <f aca="false">E9-H9</f>
        <v>74.27</v>
      </c>
      <c r="J9" s="26" t="n">
        <f aca="false">1/(1+Assumptions!$B$5)^4</f>
        <v>0.624295076969974</v>
      </c>
    </row>
    <row r="10" customFormat="false" ht="15" hidden="false" customHeight="false" outlineLevel="0" collapsed="false">
      <c r="A10" s="5" t="s">
        <v>70</v>
      </c>
      <c r="B10" s="20" t="n">
        <f aca="false">ROUND(Assumptions!F48*Assumptions!$B$36*1/1000,2)</f>
        <v>131.44</v>
      </c>
      <c r="C10" s="20" t="n">
        <f aca="false">Build_Case!F11</f>
        <v>38.4</v>
      </c>
      <c r="D10" s="20" t="n">
        <f aca="false">B10-C10</f>
        <v>93.04</v>
      </c>
      <c r="E10" s="20" t="n">
        <f aca="false">ROUND(Assumptions!F48*Assumptions!$B$36*1/1000,2)</f>
        <v>131.44</v>
      </c>
      <c r="F10" s="20" t="n">
        <f aca="false">Partner_Case!F7</f>
        <v>119.637919</v>
      </c>
      <c r="G10" s="20" t="n">
        <f aca="false">E10-F10</f>
        <v>11.802081</v>
      </c>
      <c r="H10" s="20" t="n">
        <f aca="false">Hybrid_Case!F11</f>
        <v>36.4</v>
      </c>
      <c r="I10" s="20" t="n">
        <f aca="false">E10-H10</f>
        <v>95.04</v>
      </c>
      <c r="J10" s="26" t="n">
        <f aca="false">1/(1+Assumptions!$B$5)^5</f>
        <v>0.554928957306644</v>
      </c>
    </row>
    <row r="12" customFormat="false" ht="15" hidden="false" customHeight="false" outlineLevel="0" collapsed="false">
      <c r="A12" s="9" t="s">
        <v>133</v>
      </c>
    </row>
    <row r="13" customFormat="false" ht="15" hidden="false" customHeight="false" outlineLevel="0" collapsed="false">
      <c r="A13" s="3" t="s">
        <v>134</v>
      </c>
      <c r="B13" s="4" t="s">
        <v>135</v>
      </c>
      <c r="C13" s="4" t="s">
        <v>136</v>
      </c>
      <c r="D13" s="4" t="s">
        <v>137</v>
      </c>
      <c r="E13" s="4" t="s">
        <v>138</v>
      </c>
    </row>
    <row r="14" customFormat="false" ht="15" hidden="false" customHeight="false" outlineLevel="0" collapsed="false">
      <c r="A14" s="5" t="s">
        <v>139</v>
      </c>
      <c r="B14" s="20" t="n">
        <f aca="false">Build_Case!B13</f>
        <v>224.2</v>
      </c>
      <c r="C14" s="20" t="n">
        <f aca="false">Partner_Case!G7</f>
        <v>349.0046735</v>
      </c>
      <c r="D14" s="20" t="n">
        <f aca="false">Hybrid_Case!B13</f>
        <v>320.27973</v>
      </c>
      <c r="E14" s="5" t="s">
        <v>135</v>
      </c>
    </row>
    <row r="15" customFormat="false" ht="15" hidden="false" customHeight="false" outlineLevel="0" collapsed="false">
      <c r="A15" s="5" t="s">
        <v>140</v>
      </c>
      <c r="B15" s="20" t="n">
        <f aca="false">Build_Case!B14</f>
        <v>164.58913783468</v>
      </c>
      <c r="C15" s="20" t="n">
        <f aca="false">Partner_Case!H7</f>
        <v>230.430889354197</v>
      </c>
      <c r="D15" s="20" t="n">
        <f aca="false">Hybrid_Case!B14</f>
        <v>231.695869269861</v>
      </c>
      <c r="E15" s="5" t="s">
        <v>135</v>
      </c>
    </row>
    <row r="16" customFormat="false" ht="15" hidden="false" customHeight="false" outlineLevel="0" collapsed="false">
      <c r="A16" s="5" t="s">
        <v>141</v>
      </c>
      <c r="B16" s="27" t="n">
        <f aca="false">SUMPRODUCT(D6:D10,$J$6:$J$10)</f>
        <v>54.6591529069078</v>
      </c>
      <c r="C16" s="27" t="n">
        <f aca="false">SUMPRODUCT(G6:G10,$J$6:$J$10)</f>
        <v>24.6406112639334</v>
      </c>
      <c r="D16" s="27" t="n">
        <f aca="false">SUMPRODUCT(I6:I10,$J$6:$J$10)</f>
        <v>23.3756313482701</v>
      </c>
      <c r="E16" s="5" t="s">
        <v>135</v>
      </c>
    </row>
    <row r="18" customFormat="false" ht="15" hidden="false" customHeight="false" outlineLevel="0" collapsed="false">
      <c r="A18" s="9" t="s">
        <v>142</v>
      </c>
    </row>
    <row r="19" customFormat="false" ht="15" hidden="false" customHeight="false" outlineLevel="0" collapsed="false">
      <c r="A19" s="3" t="s">
        <v>143</v>
      </c>
      <c r="B19" s="4" t="s">
        <v>15</v>
      </c>
      <c r="C19" s="4" t="s">
        <v>144</v>
      </c>
      <c r="D19" s="4" t="s">
        <v>145</v>
      </c>
      <c r="E19" s="4" t="s">
        <v>146</v>
      </c>
      <c r="F19" s="4" t="s">
        <v>147</v>
      </c>
    </row>
    <row r="20" customFormat="false" ht="15" hidden="false" customHeight="false" outlineLevel="0" collapsed="false">
      <c r="A20" s="5" t="s">
        <v>148</v>
      </c>
      <c r="B20" s="18" t="n">
        <v>950</v>
      </c>
      <c r="C20" s="20" t="n">
        <f aca="false">ROUND(SUMPRODUCT($B$6:$B$10,$J$6:$J$10)*$B20/Assumptions!$B$36-$B$15,1)</f>
        <v>436.2</v>
      </c>
      <c r="D20" s="20" t="n">
        <f aca="false">ROUND(SUMPRODUCT($E$6:$E$10,$J$6:$J$10)*$B20/Assumptions!$B$36-$C$15,1)</f>
        <v>468.5</v>
      </c>
      <c r="E20" s="20" t="n">
        <f aca="false">ROUND(SUMPRODUCT($E$6:$E$10,$J$6:$J$10)*$B20/Assumptions!$B$36-$D$15,1)</f>
        <v>467.3</v>
      </c>
      <c r="F20" s="7" t="s">
        <v>149</v>
      </c>
    </row>
    <row r="21" customFormat="false" ht="15" hidden="false" customHeight="false" outlineLevel="0" collapsed="false">
      <c r="A21" s="5" t="s">
        <v>150</v>
      </c>
      <c r="B21" s="18" t="n">
        <v>650</v>
      </c>
      <c r="C21" s="20" t="n">
        <f aca="false">ROUND(SUMPRODUCT($B$6:$B$10,$J$6:$J$10)*$B21/Assumptions!$B$36-$B$15,1)</f>
        <v>246.5</v>
      </c>
      <c r="D21" s="20" t="n">
        <f aca="false">ROUND(SUMPRODUCT($E$6:$E$10,$J$6:$J$10)*$B21/Assumptions!$B$36-$C$15,1)</f>
        <v>247.8</v>
      </c>
      <c r="E21" s="20" t="n">
        <f aca="false">ROUND(SUMPRODUCT($E$6:$E$10,$J$6:$J$10)*$B21/Assumptions!$B$36-$D$15,1)</f>
        <v>246.5</v>
      </c>
      <c r="F21" s="7" t="s">
        <v>151</v>
      </c>
    </row>
    <row r="22" customFormat="false" ht="15" hidden="false" customHeight="false" outlineLevel="0" collapsed="false">
      <c r="A22" s="5" t="s">
        <v>152</v>
      </c>
      <c r="B22" s="18" t="n">
        <f aca="false">Assumptions!B34</f>
        <v>411</v>
      </c>
      <c r="C22" s="20" t="n">
        <f aca="false">ROUND(SUMPRODUCT($B$6:$B$10,$J$6:$J$10)*$B22/Assumptions!$B$36-$B$15,1)</f>
        <v>95.3</v>
      </c>
      <c r="D22" s="20" t="n">
        <f aca="false">ROUND(SUMPRODUCT($E$6:$E$10,$J$6:$J$10)*$B22/Assumptions!$B$36-$C$15,1)</f>
        <v>72</v>
      </c>
      <c r="E22" s="20" t="n">
        <f aca="false">ROUND(SUMPRODUCT($E$6:$E$10,$J$6:$J$10)*$B22/Assumptions!$B$36-$D$15,1)</f>
        <v>70.7</v>
      </c>
      <c r="F22" s="7" t="s">
        <v>153</v>
      </c>
    </row>
    <row r="23" customFormat="false" ht="15" hidden="false" customHeight="false" outlineLevel="0" collapsed="false">
      <c r="A23" s="28" t="s">
        <v>154</v>
      </c>
      <c r="B23" s="29" t="n">
        <f aca="false">Assumptions!B33</f>
        <v>346.680983386878</v>
      </c>
      <c r="C23" s="27" t="n">
        <f aca="false">ROUND(SUMPRODUCT($B$6:$B$10,$J$6:$J$10)*$B23/Assumptions!$B$36-$B$15,1)</f>
        <v>54.7</v>
      </c>
      <c r="D23" s="27" t="n">
        <f aca="false">ROUND(SUMPRODUCT($E$6:$E$10,$J$6:$J$10)*$B23/Assumptions!$B$36-$C$15,1)</f>
        <v>24.6</v>
      </c>
      <c r="E23" s="27" t="n">
        <f aca="false">ROUND(SUMPRODUCT($E$6:$E$10,$J$6:$J$10)*$B23/Assumptions!$B$36-$D$15,1)</f>
        <v>23.4</v>
      </c>
      <c r="F23" s="7" t="s">
        <v>155</v>
      </c>
    </row>
    <row r="25" customFormat="false" ht="15" hidden="false" customHeight="false" outlineLevel="0" collapsed="false">
      <c r="A25" s="16" t="s">
        <v>156</v>
      </c>
      <c r="B25" s="18" t="n">
        <f aca="false">Assumptions!C33</f>
        <v>445.94179724976</v>
      </c>
      <c r="C25" s="20" t="n">
        <f aca="false">ROUND(SUMPRODUCT($B$6:$B$10,$J$6:$J$10)*$B$25/Assumptions!$B$36-$B$15,1)</f>
        <v>117.4</v>
      </c>
      <c r="D25" s="20" t="n">
        <f aca="false">ROUND(SUMPRODUCT($E$6:$E$10,$J$6:$J$10)*$B$25/Assumptions!$B$36-$C$15,1)</f>
        <v>97.7</v>
      </c>
      <c r="E25" s="20" t="n">
        <f aca="false">ROUND(SUMPRODUCT($E$6:$E$10,$J$6:$J$10)*$B$25/Assumptions!$B$36-$D$15,1)</f>
        <v>96.4</v>
      </c>
    </row>
    <row r="27" customFormat="false" ht="15" hidden="false" customHeight="false" outlineLevel="0" collapsed="false">
      <c r="A27" s="9" t="s">
        <v>157</v>
      </c>
    </row>
    <row r="28" customFormat="false" ht="46.25" hidden="false" customHeight="false" outlineLevel="0" collapsed="false">
      <c r="A28" s="3" t="s">
        <v>143</v>
      </c>
      <c r="B28" s="4" t="s">
        <v>15</v>
      </c>
      <c r="C28" s="4" t="s">
        <v>158</v>
      </c>
      <c r="D28" s="4" t="s">
        <v>159</v>
      </c>
    </row>
    <row r="29" customFormat="false" ht="15" hidden="false" customHeight="false" outlineLevel="0" collapsed="false">
      <c r="A29" s="5" t="s">
        <v>160</v>
      </c>
      <c r="B29" s="5" t="n">
        <v>950</v>
      </c>
      <c r="C29" s="11" t="n">
        <v>0.218</v>
      </c>
      <c r="D29" s="5" t="s">
        <v>161</v>
      </c>
    </row>
    <row r="30" customFormat="false" ht="15" hidden="false" customHeight="false" outlineLevel="0" collapsed="false">
      <c r="A30" s="5" t="s">
        <v>162</v>
      </c>
      <c r="B30" s="18" t="n">
        <f aca="false">Assumptions!B36</f>
        <v>346.680983386878</v>
      </c>
      <c r="C30" s="30" t="n">
        <v>0.139</v>
      </c>
      <c r="D30" s="5" t="s">
        <v>163</v>
      </c>
    </row>
    <row r="31" customFormat="false" ht="15" hidden="false" customHeight="false" outlineLevel="0" collapsed="false">
      <c r="A31" s="2" t="s">
        <v>164</v>
      </c>
    </row>
    <row r="33" customFormat="false" ht="15" hidden="false" customHeight="false" outlineLevel="0" collapsed="false">
      <c r="A33" s="9" t="s">
        <v>165</v>
      </c>
    </row>
    <row r="34" customFormat="false" ht="23.85" hidden="false" customHeight="false" outlineLevel="0" collapsed="false">
      <c r="A34" s="3" t="s">
        <v>143</v>
      </c>
      <c r="B34" s="4" t="s">
        <v>15</v>
      </c>
      <c r="C34" s="4" t="s">
        <v>166</v>
      </c>
      <c r="D34" s="4" t="s">
        <v>167</v>
      </c>
    </row>
    <row r="35" customFormat="false" ht="15" hidden="false" customHeight="false" outlineLevel="0" collapsed="false">
      <c r="A35" s="5" t="s">
        <v>160</v>
      </c>
      <c r="B35" s="5" t="n">
        <v>950</v>
      </c>
      <c r="C35" s="20" t="n">
        <f aca="false">ROUND(Assumptions!$B$6*Assumptions!$B$9*Assumptions!$B$10*B35/1000,1)</f>
        <v>102.8</v>
      </c>
      <c r="D35" s="7" t="s">
        <v>168</v>
      </c>
    </row>
    <row r="36" customFormat="false" ht="15" hidden="false" customHeight="false" outlineLevel="0" collapsed="false">
      <c r="A36" s="5" t="s">
        <v>162</v>
      </c>
      <c r="B36" s="18" t="n">
        <f aca="false">Assumptions!B36</f>
        <v>346.680983386878</v>
      </c>
      <c r="C36" s="23" t="n">
        <f aca="false">ROUND(Assumptions!$B$6*Assumptions!$B$9*Assumptions!$B$10*B36/1000,1)</f>
        <v>37.5</v>
      </c>
      <c r="D36" s="7"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5"/>
    <col collapsed="false" customWidth="true" hidden="false" outlineLevel="0" max="6" min="6" style="0" width="70"/>
  </cols>
  <sheetData>
    <row r="1" customFormat="false" ht="15" hidden="false" customHeight="false" outlineLevel="0" collapsed="false">
      <c r="A1" s="1" t="s">
        <v>170</v>
      </c>
    </row>
    <row r="2" customFormat="false" ht="15" hidden="false" customHeight="false" outlineLevel="0" collapsed="false">
      <c r="A2" s="2" t="s">
        <v>1</v>
      </c>
    </row>
    <row r="4" customFormat="false" ht="15" hidden="false" customHeight="false" outlineLevel="0" collapsed="false">
      <c r="A4" s="9" t="s">
        <v>171</v>
      </c>
    </row>
    <row r="5" customFormat="false" ht="15" hidden="false" customHeight="false" outlineLevel="0" collapsed="false">
      <c r="A5" s="3" t="s">
        <v>172</v>
      </c>
      <c r="B5" s="4" t="s">
        <v>173</v>
      </c>
      <c r="C5" s="4" t="s">
        <v>75</v>
      </c>
      <c r="D5" s="4" t="s">
        <v>174</v>
      </c>
      <c r="E5" s="4" t="s">
        <v>175</v>
      </c>
      <c r="F5" s="4" t="s">
        <v>50</v>
      </c>
    </row>
    <row r="6" customFormat="false" ht="15" hidden="false" customHeight="false" outlineLevel="0" collapsed="false">
      <c r="A6" s="5" t="s">
        <v>176</v>
      </c>
      <c r="B6" s="20" t="n">
        <v>10.8</v>
      </c>
      <c r="C6" s="20" t="n">
        <f aca="false">NPV_Comparison!$B$16</f>
        <v>54.6591529069078</v>
      </c>
      <c r="D6" s="20" t="n">
        <v>98.5</v>
      </c>
      <c r="E6" s="20" t="n">
        <f aca="false">D6-B6</f>
        <v>87.7</v>
      </c>
      <c r="F6" s="7" t="s">
        <v>177</v>
      </c>
    </row>
    <row r="7" customFormat="false" ht="15" hidden="false" customHeight="false" outlineLevel="0" collapsed="false">
      <c r="A7" s="5" t="s">
        <v>178</v>
      </c>
      <c r="B7" s="20" t="n">
        <v>21.7</v>
      </c>
      <c r="C7" s="20" t="n">
        <f aca="false">NPV_Comparison!$B$16</f>
        <v>54.6591529069078</v>
      </c>
      <c r="D7" s="20" t="n">
        <v>87.6</v>
      </c>
      <c r="E7" s="20" t="n">
        <f aca="false">D7-B7</f>
        <v>65.9</v>
      </c>
      <c r="F7" s="7" t="s">
        <v>179</v>
      </c>
    </row>
    <row r="8" customFormat="false" ht="15" hidden="false" customHeight="false" outlineLevel="0" collapsed="false">
      <c r="A8" s="5" t="s">
        <v>180</v>
      </c>
      <c r="B8" s="20" t="n">
        <f aca="false">C8</f>
        <v>54.6591529069078</v>
      </c>
      <c r="C8" s="20" t="n">
        <f aca="false">NPV_Comparison!$B$16</f>
        <v>54.6591529069078</v>
      </c>
      <c r="D8" s="20" t="n">
        <v>117.4</v>
      </c>
      <c r="E8" s="20" t="n">
        <f aca="false">D8-B8</f>
        <v>62.7408470930922</v>
      </c>
      <c r="F8" s="7" t="s">
        <v>181</v>
      </c>
    </row>
    <row r="9" customFormat="false" ht="15" hidden="false" customHeight="false" outlineLevel="0" collapsed="false">
      <c r="A9" s="5" t="s">
        <v>182</v>
      </c>
      <c r="B9" s="20" t="n">
        <v>43.8</v>
      </c>
      <c r="C9" s="20" t="n">
        <f aca="false">NPV_Comparison!$B$16</f>
        <v>54.6591529069078</v>
      </c>
      <c r="D9" s="20" t="n">
        <v>67.3</v>
      </c>
      <c r="E9" s="20" t="n">
        <f aca="false">D9-B9</f>
        <v>23.5</v>
      </c>
      <c r="F9" s="7" t="s">
        <v>183</v>
      </c>
    </row>
    <row r="11" customFormat="false" ht="15" hidden="false" customHeight="false" outlineLevel="0" collapsed="false">
      <c r="A11" s="2" t="s">
        <v>184</v>
      </c>
    </row>
    <row r="13" customFormat="false" ht="15" hidden="false" customHeight="false" outlineLevel="0" collapsed="false">
      <c r="A13" s="9" t="s">
        <v>185</v>
      </c>
    </row>
    <row r="14" customFormat="false" ht="15" hidden="false" customHeight="false" outlineLevel="0" collapsed="false">
      <c r="A14" s="3" t="s">
        <v>172</v>
      </c>
      <c r="B14" s="4" t="s">
        <v>186</v>
      </c>
      <c r="C14" s="4" t="s">
        <v>187</v>
      </c>
      <c r="D14" s="4" t="s">
        <v>188</v>
      </c>
    </row>
    <row r="15" customFormat="false" ht="15" hidden="false" customHeight="false" outlineLevel="0" collapsed="false">
      <c r="A15" s="5" t="s">
        <v>189</v>
      </c>
      <c r="B15" s="5"/>
      <c r="C15" s="5"/>
      <c r="D15" s="27" t="n">
        <f aca="false">ROUND(NPV_Comparison!$B$16-NPV_Comparison!$C$16,1)</f>
        <v>30</v>
      </c>
    </row>
    <row r="16" customFormat="false" ht="15" hidden="false" customHeight="false" outlineLevel="0" collapsed="false">
      <c r="A16" s="5" t="s">
        <v>190</v>
      </c>
      <c r="B16" s="20" t="n">
        <v>-34.3</v>
      </c>
      <c r="C16" s="20" t="n">
        <v>34.3</v>
      </c>
      <c r="D16" s="7" t="s">
        <v>191</v>
      </c>
    </row>
    <row r="17" customFormat="false" ht="15" hidden="false" customHeight="false" outlineLevel="0" collapsed="false">
      <c r="A17" s="5" t="s">
        <v>192</v>
      </c>
      <c r="B17" s="20" t="n">
        <v>-32.9</v>
      </c>
      <c r="C17" s="20" t="n">
        <v>32.9</v>
      </c>
      <c r="D17" s="7" t="s">
        <v>193</v>
      </c>
    </row>
    <row r="18" customFormat="false" ht="15" hidden="false" customHeight="false" outlineLevel="0" collapsed="false">
      <c r="A18" s="5" t="s">
        <v>194</v>
      </c>
      <c r="B18" s="20" t="n">
        <v>-28.1</v>
      </c>
      <c r="C18" s="20" t="n">
        <v>28.1</v>
      </c>
      <c r="D18" s="7" t="s">
        <v>195</v>
      </c>
    </row>
    <row r="19" customFormat="false" ht="15" hidden="false" customHeight="false" outlineLevel="0" collapsed="false">
      <c r="A19" s="5" t="s">
        <v>196</v>
      </c>
      <c r="B19" s="20" t="n">
        <v>-7.8</v>
      </c>
      <c r="C19" s="20" t="n">
        <v>9.2</v>
      </c>
      <c r="D19" s="7" t="s">
        <v>197</v>
      </c>
    </row>
    <row r="21" customFormat="false" ht="15" hidden="false" customHeight="false" outlineLevel="0" collapsed="false">
      <c r="A21" s="2"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6"/>
    <col collapsed="false" customWidth="true" hidden="false" outlineLevel="0" max="5" min="3" style="0" width="14"/>
    <col collapsed="false" customWidth="true" hidden="false" outlineLevel="0" max="6" min="6" style="0" width="60"/>
  </cols>
  <sheetData>
    <row r="1" customFormat="false" ht="15" hidden="false" customHeight="false" outlineLevel="0" collapsed="false">
      <c r="A1" s="1" t="s">
        <v>199</v>
      </c>
    </row>
    <row r="2" customFormat="false" ht="15" hidden="false" customHeight="false" outlineLevel="0" collapsed="false">
      <c r="A2" s="2" t="s">
        <v>1</v>
      </c>
    </row>
    <row r="4" customFormat="false" ht="15" hidden="false" customHeight="false" outlineLevel="0" collapsed="false">
      <c r="A4" s="3" t="s">
        <v>200</v>
      </c>
      <c r="B4" s="4" t="s">
        <v>201</v>
      </c>
      <c r="C4" s="4" t="s">
        <v>202</v>
      </c>
      <c r="D4" s="4" t="s">
        <v>203</v>
      </c>
      <c r="E4" s="4" t="s">
        <v>204</v>
      </c>
      <c r="F4" s="4" t="s">
        <v>205</v>
      </c>
    </row>
    <row r="5" customFormat="false" ht="15" hidden="false" customHeight="false" outlineLevel="0" collapsed="false">
      <c r="A5" s="5" t="s">
        <v>206</v>
      </c>
      <c r="B5" s="11" t="n">
        <v>0.25</v>
      </c>
      <c r="C5" s="5" t="n">
        <v>4</v>
      </c>
      <c r="D5" s="5" t="n">
        <v>2</v>
      </c>
      <c r="E5" s="5" t="n">
        <v>2</v>
      </c>
      <c r="F5" s="7" t="s">
        <v>207</v>
      </c>
    </row>
    <row r="6" customFormat="false" ht="15" hidden="false" customHeight="false" outlineLevel="0" collapsed="false">
      <c r="A6" s="5" t="s">
        <v>208</v>
      </c>
      <c r="B6" s="11" t="n">
        <v>0.25</v>
      </c>
      <c r="C6" s="5" t="n">
        <v>2</v>
      </c>
      <c r="D6" s="5" t="n">
        <v>4</v>
      </c>
      <c r="E6" s="5" t="n">
        <v>4</v>
      </c>
      <c r="F6" s="7" t="s">
        <v>209</v>
      </c>
    </row>
    <row r="7" customFormat="false" ht="15" hidden="false" customHeight="false" outlineLevel="0" collapsed="false">
      <c r="A7" s="5" t="s">
        <v>210</v>
      </c>
      <c r="B7" s="11" t="n">
        <v>0.2</v>
      </c>
      <c r="C7" s="5" t="n">
        <v>5</v>
      </c>
      <c r="D7" s="5" t="n">
        <v>2</v>
      </c>
      <c r="E7" s="5" t="n">
        <v>3</v>
      </c>
      <c r="F7" s="7" t="s">
        <v>211</v>
      </c>
    </row>
    <row r="8" customFormat="false" ht="15" hidden="false" customHeight="false" outlineLevel="0" collapsed="false">
      <c r="A8" s="5" t="s">
        <v>212</v>
      </c>
      <c r="B8" s="11" t="n">
        <v>0.2</v>
      </c>
      <c r="C8" s="5" t="n">
        <v>2</v>
      </c>
      <c r="D8" s="5" t="n">
        <v>4</v>
      </c>
      <c r="E8" s="5" t="n">
        <v>3</v>
      </c>
      <c r="F8" s="7" t="s">
        <v>213</v>
      </c>
    </row>
    <row r="9" customFormat="false" ht="15" hidden="false" customHeight="false" outlineLevel="0" collapsed="false">
      <c r="A9" s="5" t="s">
        <v>214</v>
      </c>
      <c r="B9" s="11" t="n">
        <v>0.1</v>
      </c>
      <c r="C9" s="5" t="n">
        <v>4</v>
      </c>
      <c r="D9" s="5" t="n">
        <v>3</v>
      </c>
      <c r="E9" s="5" t="n">
        <v>4</v>
      </c>
      <c r="F9" s="7" t="s">
        <v>215</v>
      </c>
    </row>
    <row r="10" customFormat="false" ht="15" hidden="false" customHeight="false" outlineLevel="0" collapsed="false">
      <c r="A10" s="16" t="s">
        <v>216</v>
      </c>
      <c r="B10" s="11" t="n">
        <f aca="false">SUM(B5:B9)</f>
        <v>1</v>
      </c>
      <c r="C10" s="31" t="n">
        <f aca="false">ROUND(SUMPRODUCT($B$5:$B$9,C5:C9)/SUM($B$5:$B$9),2)</f>
        <v>3.3</v>
      </c>
      <c r="D10" s="31" t="n">
        <f aca="false">ROUND(SUMPRODUCT($B$5:$B$9,D5:D9)/SUM($B$5:$B$9),2)</f>
        <v>3</v>
      </c>
      <c r="E10" s="31" t="n">
        <f aca="false">ROUND(SUMPRODUCT($B$5:$B$9,E5:E9)/SUM($B$5:$B$9),2)</f>
        <v>3.1</v>
      </c>
      <c r="F10" s="5"/>
    </row>
    <row r="12" customFormat="false" ht="15" hidden="false" customHeight="false" outlineLevel="0" collapsed="false">
      <c r="A12" s="9" t="s">
        <v>217</v>
      </c>
      <c r="B12" s="13" t="s">
        <v>218</v>
      </c>
    </row>
    <row r="14" customFormat="false" ht="118" hidden="false" customHeight="true" outlineLevel="0" collapsed="false">
      <c r="A14" s="13" t="s">
        <v>219</v>
      </c>
      <c r="B14" s="32" t="s">
        <v>220</v>
      </c>
    </row>
    <row r="16" customFormat="false" ht="86" hidden="false" customHeight="true" outlineLevel="0" collapsed="false">
      <c r="A16" s="13" t="s">
        <v>221</v>
      </c>
      <c r="B16" s="32" t="s">
        <v>222</v>
      </c>
    </row>
    <row r="18" customFormat="false" ht="15" hidden="false" customHeight="false" outlineLevel="0" collapsed="false">
      <c r="A18" s="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